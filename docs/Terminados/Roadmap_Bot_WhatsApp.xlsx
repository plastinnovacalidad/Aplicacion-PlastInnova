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lan de trabajo" sheetId="1" state="visible" r:id="rId3"/>
    <sheet name="Resumen" sheetId="2" state="visible" r:id="rId4"/>
  </sheets>
  <definedNames>
    <definedName function="false" hidden="true" localSheetId="0" name="_xlnm._FilterDatabase" vbProcedure="false">'Plan de trabajo'!$A$1:$G$24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<sst xmlns="http://schemas.openxmlformats.org/spreadsheetml/2006/main" count="156" uniqueCount="79">
  <si>
    <t xml:space="preserve">#</t>
  </si>
  <si>
    <t xml:space="preserve">Categoría</t>
  </si>
  <si>
    <t xml:space="preserve">Tarea</t>
  </si>
  <si>
    <t xml:space="preserve">Prioridad</t>
  </si>
  <si>
    <t xml:space="preserve">Estado</t>
  </si>
  <si>
    <t xml:space="preserve">Notas</t>
  </si>
  <si>
    <t xml:space="preserve">Última actualización</t>
  </si>
  <si>
    <t xml:space="preserve">Diseño de la consulta</t>
  </si>
  <si>
    <t xml:space="preserve">Definir los tipos de pregunta que el bot va a soportar al inicio (por referencia + comandos fijos sin referencia)</t>
  </si>
  <si>
    <t xml:space="preserve">Alta</t>
  </si>
  <si>
    <t xml:space="preserve">Hecho</t>
  </si>
  <si>
    <t xml:space="preserve">Definición cerrada — dos tipos de pregunta soportados al inicio, ambos sobre Garantías, siempre pidiendo una referencia: (A) Últimos/top N registros de una referencia: dispara con frases como "últimos 5 de &lt;referencia&gt;", "top 10 registros de &lt;referencia&gt;", "muéstrame las garantías de &lt;referencia&gt;"; responde con las columnas por defecto del punto 15 (Fecha Reporte, Referencia, Cantidad, Causal/Problema, Estado, Aprobó/Rechazó), ordenadas de más reciente a más antigua, limitadas al N pedido (si no dan N, se usa 10 por defecto). (B) Porcentaje por causal de una referencia: dispara con frases como "porcentaje de causales de &lt;referencia&gt;", "por qué se dañan las &lt;referencia&gt;", "causales de &lt;referencia&gt;"; responde el listado de causales de esa referencia con su % sobre el total, de mayor a menor. Esta definición queda como base para implementar la interpretación de la pregunta (puntos 8-11) — cualquier frase que no encaje en (A) o (B) cae en el punto 2 (mensaje de no entendido). ACTUALIZACIÓN (feedback de Julio): pidió simplificarlo porque escribir la referencia le pareció muy largo. Se agregaron 3 comandos fijos que NO piden referencia — frase exacta, sin variantes, siempre las últimas 10: "últimas garantías ingresadas" (las más recientes de TODAS las referencias, no de una sola), "últimos muestreos realizados" y "últimos muestreos rechazados" (estos dos son del módulo ISO 2859/muestreos, no de Garantías — "rechazado" es la decisión del muestreo en iso_muestreos.decision, no el estado del lote completo). Los tipos (A) y (B) de arriba SIGUEN existiendo tal cual, para cuando sí se quiera ver el detalle de una referencia puntual — esto se agregó al lado, no los reemplazó.</t>
  </si>
  <si>
    <t xml:space="preserve">2026-08-27</t>
  </si>
  <si>
    <t xml:space="preserve">Definir qué responde el bot cuando la pregunta no encaja en ninguno de los formatos soportados</t>
  </si>
  <si>
    <t xml:space="preserve">Media</t>
  </si>
  <si>
    <t xml:space="preserve">Definido: si la pregunta no encaja en ninguno de los dos formatos del punto 1, el bot responde explicando que no entendió, lista los dos formatos soportados con un ejemplo de cada uno, y recuerda que puede escribir "salir" para cerrar el modo consulta. Esto NO cuenta como intento fallido que cierre la sesión — el bot se queda esperando otra pregunta, y el reloj de inactividad del punto 4 sigue corriendo normal. Mensaje propuesto: "No entendí esa pregunta. Puedo ayudarte con:
• Últimos o top N registros de una referencia (ej. últimos 5 de SUP/1077/RS/MUL)
• Porcentaje por causal de una referencia (ej. causales de SUP/1077/RS/MUL)
Escribe salir si quieres cerrar el modo consulta." — pendiente de confirmación final de Julio antes de implementarlo junto con los puntos 8-11.</t>
  </si>
  <si>
    <t xml:space="preserve">Activación y sesión (modo consulta)</t>
  </si>
  <si>
    <t xml:space="preserve">Palabra de activación exacta "consulta" al inicio del mensaje (sin variantes)</t>
  </si>
  <si>
    <t xml:space="preserve">Ya definido en la planeación. Implementado: si el mensaje (sin espacios y sin importar mayúsculas) es exactamente "consulta", se activa el modo consulta para ese número (numerosEnModoConsulta en whatsapp_bot_service.js) y el bot responde confirmando. Variantes como "consultar" o "consulta garantias" NO activan el modo. Por ahora la activación no hace nada más: el cierre automático (punto 4), el cierre manual con "salir" (punto 5, pendiente de resolver el choque con el "salir" de asistencia — punto 6) y la interpretación de la pregunta (puntos 8+) siguen pendientes.</t>
  </si>
  <si>
    <t xml:space="preserve">Cierre automático del modo consulta a los 5 minutos de inactividad</t>
  </si>
  <si>
    <t xml:space="preserve">Implementado en whatsapp_bot_service.js: numerosEnModoConsulta pasó de Set a Map (telefono -&gt; timestamp de última actividad). revisarModoConsultaExpirado() corre cada 60s dentro de revisarCron() (mismo cron que ya existía para recordatorios/resumen diario) y cierra + avisa por WhatsApp a cualquier número con más de 5 minutos sin actividad. Cualquier mensaje de alguien ya activo en modo consulta (sea el que sea) renueva el reloj, así que una sesión en uso no se corta a media conversación. De paso quedó resuelto el diseño del almacenamiento con expiración que pedía el punto 7 (se hizo junto con este, eran inseparables). Probado con una simulación aislada de la lógica de tiempos (Date.now() mockeado, sin esperar 5 min reales) y con arranque completo del servidor sin errores.</t>
  </si>
  <si>
    <t xml:space="preserve">Cierre manual del modo consulta con la palabra "salir consulta"</t>
  </si>
  <si>
    <t xml:space="preserve">Implementado en whatsapp_bot_service.js. La palabra ya NO es "salir" a secas (ver decisión del punto 6) — es la frase exacta "salir consulta", sin variantes, mismo criterio de exactitud que la activación (punto 3). Si la persona no tiene el modo activo, el bot lo avisa en vez de fallar en silencio. No pide permiso aparte — quien pudo activar el modo (permiso del punto 13) puede cerrarlo.</t>
  </si>
  <si>
    <t xml:space="preserve">Resolver el choque entre "salir" del modo consulta y "salir" ya usado hoy para cerrar el registro de entrada/salida de área</t>
  </si>
  <si>
    <t xml:space="preserve">Crítica</t>
  </si>
  <si>
    <t xml:space="preserve">Decisión de Julio: "salir" se queda significando SOLO cerrar la entrada/salida de área, sin excepción — nunca cierra el modo consulta, así esté activo. Para cerrar el modo consulta se usa la palabra aparte "salir consulta" (punto 5). Se eligió esta opción (en vez de que "salir" cierre el modo consulta primero, o que cierre los dos a la vez) para no arriesgar que alguien piense que ya cerró su turno de asistencia y en realidad sigue activo, o al revés.</t>
  </si>
  <si>
    <t xml:space="preserve">Diseñar el almacenamiento en memoria del estado "modo consulta" por número, con expiración (mismo patrón que numerosCache)</t>
  </si>
  <si>
    <t xml:space="preserve">Quedó resuelto junto con el punto 4 (cierre automático), porque no se podía implementar el cierre sin definir primero este almacenamiento: numerosEnModoConsulta es un Map en memoria telefono -&gt; timestamp (ms) de última actividad, igual de simple que numerosCache pero con el dato de tiempo que pide la expiración. La revisión de expirados corre cada 60s aprovechando el mismo cron que ya existía (revisarCron), en vez de sumar un temporizador aparte por número.</t>
  </si>
  <si>
    <t xml:space="preserve">Interpretación de la pregunta</t>
  </si>
  <si>
    <t xml:space="preserve">Elegir el mecanismo para interpretar la pregunta: reglas/palabras clave vs. modelo de lenguaje</t>
  </si>
  <si>
    <t xml:space="preserve">Decisión de Julio: reglas/palabras clave, no modelo de lenguaje — para empezar. Sin costo por uso, predecible, y alcanza con los dos tipos de pregunta ya definidos (punto 1); cualquier frase que no encaje cae en el mensaje de "no entendí" (punto 2). Con esto decidido, el punto 9 (diseñar cómo se extrae la referencia y la cantidad de la frase) ya se puede construir sobre reglas de texto, sin esperar una integración de modelo de lenguaje.
ACTUALIZACIÓN (feedback de Julio, revierte la decisión de arriba): después de ver los 3 comandos fijos (ver ACTUALIZACIÓN del punto 1), Julio pidió algo más flexible todavía: "no me gustaría que las frases las pre escogiéramos acá... más como una IA que como un bot". Se le confirmó explícitamente el costo/setup (llamada a un modelo de lenguaje real = costo pequeño por pregunta + necesita su propia cuenta/llave de API) antes de proceder, y confirmó que sí quiere conectarlo. Implementado en whatsapp_bot_service.js con @anthropic-ai/sdk: se agregó interpretarConsultaConIA(), que le pasa la pregunta a Claude (modelo claude-haiku-4-5-20251001 — el más rápido/barato de Anthropic, configurable con MODELO_IA_MODO_CONSULTA en el .env) usando "tool use" forzado para que la respuesta salga siempre en el mismo formato {tipo, referencia, cantidad} que ya usaban extraerParametrosConsulta() y las funciones de consulta/formato de los puntos 9-11 — esas NO se tocaron. Diseño elegido para no pagar de más: primero se intenta con las reglas de siempre (gratis, instantáneo — cubre los 3 comandos fijos y las preguntas por referencia con el formato ya conocido); solo si las reglas NO reconocen la frase, y hay una llave de IA configurada, se le pregunta al modelo. Si ANTHROPIC_API_KEY no está en el .env, el bot sigue funcionando exactamente como antes (solo reglas) — no se cae ni deja de responder nada de lo que ya funcionaba. PENDIENTE DE JULIO para que esto quede activo: (1) crear una cuenta y una llave de API en Anthropic (console.anthropic.com), (2) agregarla a su propio archivo .env como ANTHROPIC_API_KEY=sk-ant-... (nunca compartir esa llave por chat), (3) correr "npm install" una vez para instalar el paquete nuevo (@anthropic-ai/sdk). Probado sin una llave real (no hay una configurada en este sandbox): arranque completo del servidor sin errores, y la lógica de interpretarConsultaConIA() probada con una IA simulada (mock) cubriendo 7 casos — normalización de referencia/cantidad, pregunta no reconocida, referencia faltante en tipos que la necesitan, y que un error de la API (red, llave inválida, límite de uso) nunca tumba el bot, solo cae al mensaje de "no entendí". Falta la prueba con una llave real y preguntas reales de Julio una vez la configure.
ACTUALIZACIÓN 2 (decisión de Julio sobre el proveedor): entre Claude (Anthropic) y una opción gratuita, eligió empezar con el plan GRATIS de Gemini (Google) — con la salvedad ya conversada de no mandarle datos sensibles mientras esté en el plan gratis (Google puede usar esas preguntas para mejorar sus modelos), y la ventaja de que pasar a la versión paga de Gemini más adelante es solo activar facturación en la misma cuenta — no obliga a tocar código otra vez. Se migró la implementación de @anthropic-ai/sdk a @google/genai (SDK oficial de Gemini): interpretarConsultaConIA() ahora llama a geminiClient.models.generateContent() con "function calling" forzado (modo ANY), usando el modelo gemini-3.5-flash-lite (el más rápido/barato de Gemini, configurable con MODELO_IA_MODO_CONSULTA) — el resultado sigue siendo exactamente el mismo formato {tipo, referencia, cantidad} de siempre, así que las consultas a la base y los formateadores de respuesta (puntos 9-11) de nuevo no se tocaron. La variable de entorno pasó a llamarse GEMINI_API_KEY (ya no ANTHROPIC_API_KEY) y se documentó en .env.example. Vuelto a probar sin llave real (mismo mock, 7 casos) y con arranque completo del servidor: todo sigue pasando, sin errores.
ACTUALIZACIÓN 3 (probado en producción con Julio, 28/08): con la llave de Gemini ya configurada, Julio preguntó "cuál fue el último muestreo que se hizo" por WhatsApp real y el bot respondió "no entendí esa pregunta". Julio compartió el log real del servidor, que mostró la causa exacta: Gemini devolvió un error 503 "UNAVAILABLE" ("This model is currently experiencing high demand") — es decir, la conexión y la llave SÍ estaban funcionando bien, fue el servidor de Google el que estaba temporalmente saturado (algo conocido del plan gratis en horas pico). Se agregó un reintento automático: si Gemini responde un error 5xx (servidor caído/saturado), interpretarConsultaConIA() espera 1 segundo y lo intenta una vez más antes de rendirse; cualquier otro tipo de error (llave inválida, límite de uso, etc.) NO se reintenta, porque reintentar eso no cambia nada y solo demoraría la respuesta de "no entendí". Probado con el caso real exacto de Julio simulado (falla la primera vez con el mismo error 503, funciona la segunda) más casos de 503 persistente (se rinde después de 2 intentos, no se queda reintentando para siempre) y de error no-503 (no reintenta) — los 3 casos nuevos pasan, y los demás casos/pruebas de toda la sesión se volvieron a correr sin romperse.
ACTUALIZACIÓN 4 (segundo hallazgo real con Julio, mismo día): probando ya con Gemini funcionando, Julio preguntó "cuál fue el último muestreo que se hizo" (respondió bien) y luego "y el primero" / "cuál fue el primer muestreo que se hizo esta semana" — el bot respondió TODAS las veces con el mismo registro (el más reciente), nunca con el primero. Causa real, dos partes: (1) cada mensaje se interpreta solo, sin memoria de la pregunta anterior, así que "y el primero" (sin contexto propio) no se pudo clasificar — esto es una limitación conocida de diseño, no un bug, y se deja anotada para una futura mejora de "memoria de conversación" si Julio la pide. (2) el bug real: aunque preguntó completo ("cuál fue el primer muestreo que se hizo"), el sistema NUNCA tuvo manera de pedir el más ANTIGUO — todas las consultas (por referencia, garantías recientes, muestreos) solo sabían traer del más nuevo hacia atrás (ORDER BY ... DESC), sin importar qué pidiera la persona. Se agregó un campo nuevo "orden" (reciente/antiguo) a todo el flujo: el schema de la función que llama a Gemini, las reglas de texto (ahora "primero"/"primeros"/"antiguo"/"antiguos"/"inicial" también disparan orden antiguo, igual que agregan a la detección de tipo "ultimos"), las 3 consultas a la base (garantías por referencia, garantías recientes, muestreos — todas ahora aceptan ASC o DESC), y los formateadores de respuesta (dicen "Primeros N" en vez de "Últimos N" cuando corresponde, para que el mensaje no sea engañoso). Probado con un caso de extremo a extremo contra la base real confirmando que "reciente" y "antiguo" traen registros distintos y en el orden correcto (tanto en muestreos como en garantías por referencia), más 14 casos de la interpretación con IA (incluido el caso exacto de Julio) y toda la batería de pruebas de la sesión repetida sin romperse. La limitación (1) — preguntas de seguimiento sin repetir el contexto, tipo "y el primero" solo — sigue pendiente, es una mejora más grande (memoria de conversación) que no se construyó todavía porque no estaba clara la necesidad ni el costo/complejidad extra que implica; queda para conversarlo con Julio si la sigue necesitando.
ACTUALIZACIÓN 5 (tercer hallazgo real con Julio, mismo día): probó "Regálame el top 5 de garantías con más porcentaje" y "...garantías más frecuente" — el bot respondió "No encontré garantías registradas para *garantías con más porcentaje*" (y lo mismo con la otra frase). Causa real: las reglas de texto (heurística V1: "la referencia es lo que sigue a la última palabra 'de'") tomaron el texto "garantías con más porcentaje" como si fuera un código de referencia real — como sí lograron armar una respuesta (aunque vacía), el bot NUNCA le dio la oportunidad a la IA de interpretarlo mejor, y respondió con un falso "no encontré" en vez de admitir que no entendió. Se agregó un mecanismo de segunda oportunidad: si una pregunta por referencia (tipo 'ultimos'/'causal') interpretada por las REGLAS devuelve 0 resultados, se reintenta con la IA antes de responder — así una referencia inventada por error tiene chance de corregirse. Probado con el caso exacto de Julio contra la base real. PERO además, esto reveló algo más grande: lo que Julio está pidiendo ("top 5 causales más frecuentes/con más porcentaje", A TRAVÉS de todas las garantías, no de una referencia puntual) es un tipo de pregunta que TODAVÍA NO EXISTE en el sistema — hoy solo existe el porcentaje por causal DE UNA referencia (punto 11). Queda pendiente confirmar con Julio exactamente qué necesita (¿los causales más frecuentes en general, o las referencias con más garantías?) para construir esa consulta nueva.
ACTUALIZACIÓN 6: confirmado con Julio qué necesitaba ("top 5 de garantías con más porcentaje/más frecuentes") — quería las referencias/productos con MÁS garantías en total (no causales). Se construyó el tipo nuevo 'top_referencias_garantias': consultarTopReferenciasConMasGarantias(n) en data/garantias.js (cuenta garantías agrupando por referencia, TODAS las referencias juntas, de mayor a menor), agregado al schema de la IA, al menú del bot, y a generarRespuestaModoConsulta(). Solo se puede pedir escribiendo la pregunta en lenguaje natural (vía IA) — no se agregó como comando fijo de frase exacta, para no repetir el mismo tipo de bug encontrado hoy con las reglas de texto. Probado contra la base real: trae las N referencias correctas en orden descendente por cantidad de garantías (ej. 1017C/AMAM/MULTI con 287, la que más tiene). Toda la batería de pruebas de la sesión se volvió a correr sin romperse.
ACTUALIZACIÓN 7 (mismo día, 28/08): Julio pidió ir más allá de construir cada tipo de pregunta a mano — "yo quiero es poder preguntarle algo sobre mi base de datos como si fuera una IA". Se agregó una TERCERA y última instancia de interpretación (después de las reglas y del enum fijo de tipos con IA): cuando ninguna de las dos anteriores reconoce la pregunta, se le da a la IA (Gemini) el esquema completo de las tablas permitidas y se le pide que ella misma escriba y corra su propio SELECT — así deja de hacer falta programar cada pregunta nueva una por una.
Antes de construirlo se resolvió con Julio el alcance de seguridad: eligió "Toda la base de datos" como alcance general, y confirmó que asistencia (entradas/salidas por WhatsApp) también debe poder consultarse. Aparte, y sin ponerlo a votación (no es negociable), se excluyeron las tablas usuarios (tiene la columna de contraseñas de la app web), roles/permisos/rol_permisos (modelo de autorización) y la plomería interna del propio bot — la IA no las ve, no existen en el esquema que se le manda, y el SQL que genere no puede mencionarlas aunque lo intente. Julio además pidió explícitamente, ya con la función construida: "la IA de whatsapp no quiero que modifique nada, sin excepción, solo que pueda consultar" — exactamente la garantía que ya estaba diseñada, reforzada con protección en capas:
  1) Conexión de SOLO LECTURA (sqlite3.OPEN_READONLY) separada de la conexión normal de escritura — aunque el SQL generado intentara escribir, SQLite lo rechaza a nivel de archivo, no solo porque el código "confía" en la IA.
  2) Lista blanca de tablas, aplicada tanto al esquema que ve la IA como al SQL que se le permite ejecutar.
  3) Validación del SQL antes de correrlo: debe ser un único SELECT (sin punto y coma, para que no se puedan apilar comandos), sin palabras de escritura/administración (INSERT/UPDATE/DELETE/DROP/ALTER/CREATE/ATTACH/PRAGMA/etc.).
  4) Límite de 50 filas por respuesta, sin importar lo que haya pedido la IA.
  5) Cada consulta generada queda registrada en el log del servidor.
Archivo nuevo: data/consultaLibreIA.js (toda la lógica de seguridad: lista blanca, validación, límite, conexión de solo lectura). whatsapp_bot_service.js: nuevas funciones interpretarYEjecutarConsultaLibre/formatearRespuestaLibre/construirInstruccionConsultaLibre, conectadas como ÚLTIMA instancia en el manejador de mensajes (solo se intenta si las reglas Y el enum fijo de tipos ya fallaron — es la opción más cara y lenta, se paga solo cuando de verdad hace falta). Nunca lanza: cualquier error (SQL inválido, tabla no permitida, falla de la IA) cae al mismo "no entendí" de siempre, sin mostrar el SQL ni el error crudo a la persona.
Probado: validación de SQL (18 casos — tablas prohibidas incluida usuarios, SQL de escritura, multi-statement, límite de filas topado en ambos sentidos), generación del esquema contra la base real (confirma que usuarios/roles/permisos NUNCA aparecen), y 7 casos de extremo a extremo con la IA mockeada (SQL válido ejecuta y formatea bien; sin function call -&gt; null; SQL contra tabla prohibida -&gt; null, nunca se ejecuta; SQL de escritura -&gt; null, nunca modifica nada; reintento por 503 igual que en la interpretación de tipos fijos; error no transitorio no se reintenta; sin llave de Gemini -&gt; null inmediato). Se volvió a correr toda la batería de pruebas de la sesión (9 archivos más) sin romperse, y se arrancó el servidor completo para confirmar que carga sin errores.
ACTUALIZACIÓN 8 (mismo día, 28/08 — bug real encontrado el mismo día que se entregó el modo libre): Julio probó "Regálame las garantías que menos unidades han llegado" y el bot respondió el falso "No encontré garantías registradas para garantías que menos unidades han llegado" — el mismo tipo de problema de la ACTUALIZACIÓN 5 (las reglas adivinaron mal una referencia), pero esta vez el modo libre (recién construido, pensado justo para este caso) NUNCA llegó a intentarse. Causa real: el modo libre solo se probaba cuando "parametros" salía null desde el principio (ni las reglas ni la IA de tipos fijos reconocían nada) — pero acá las reglas SÍ "reconocieron" algo (aunque mal, con 0 resultados), así que el código entraba por la otra rama: la de reintentar solo con la IA de tipos fijos (interpretarConsultaConIA). Como "garantías ordenadas por cantidad ascendente" no es ninguno de los tipos fijos del enum, esa IA respondía null, y el código se rendía ahí mismo con la respuesta original (el falso "no encontré") sin darle nunca la oportunidad al modo libre de responder de verdad. Arreglado: cuando la segunda oportunidad con la IA de tipos fijos también sale null, ahora se intenta el modo libre antes de aceptar la respuesta original. Probado con el caso EXACTO de Julio (mismo texto) contra la base real: ahora sí llega hasta el modo libre y trae los 10 registros de garantías con menor cantidad, ordenados correctamente. Se volvió a correr toda la batería de pruebas (12 archivos) sin romperse, y se arrancó el servidor completo de nuevo para confirmar que carga sin errores.
ACTUALIZACIÓN 9 (mismo día, 28/08 — tercer hallazgo real del día): Julio probó 3 preguntas seguidas en modo consulta: "últimos 10 muestreos realizados" (correcta), "qué referencias se les hizo muestreo la semana pasada", y "cuántos muestreos se han hecho en agosto" — las DOS ÚLTIMAS recibieron EXACTAMENTE la misma respuesta que la primera (la lista de últimos 10 muestreos), sin ninguna relación con lo que realmente preguntó. No era un bug de caché: la IA de tipos fijos (interpretarConsultaConIA), a pesar de tener instrucciones de admitir cuando no reconoce una pregunta, estaba forzando cualquier pregunta que mencionara "muestreo(s)" hacia el tipo fijo 'muestreos_realizados' — aunque la pregunta real pidiera un filtro de fecha ("la semana pasada", "en agosto") o un conteo, cosas que ese tipo fijo NO sabe hacer. Como el tipo fijo sí producía una respuesta (la lista genérica de siempre), nunca se activaba ningún mecanismo de "esto podría estar mal" — a diferencia de una referencia inventada con 0 resultados (ACTUALIZACIÓN 5/8), acá el tipo incorrecto SÍ traía datos reales (aunque de la pregunta equivocada), así que no había ninguna señal de alarma.
Arreglado en dos frentes:
1) Se reforzaron las instrucciones que recibe la IA de tipos fijos (tanto la descripción de cada tipo en el esquema como las instrucciones generales): ahora dice explícitamente que cada tipo fijo es una lista CERRADA y sin ningún filtro de fecha/periodo, conteo, o agrupación — y que ante cualquier pregunta con esas condiciones extra (aunque mencione palabras parecidas a un tipo fijo) debe responder 'no_reconocido', prefiriendo admitir que no sabe antes que forzar una respuesta equivocada.
2) Como no basta con confiar en que el modelo "se acuerde" de seguir esa instrucción cada vez (es una IA, no una regla determinística), se agregó una señal heurística nueva, sin IA y gratuita (necesitaModoLibre, con la lista SENALES_REQUIERE_MODO_LIBRE: semana/mes/año/ayer/hoy/trimestre/nombres de mes/cuántos/cuántas/promedio/distintas/etc.): si la pregunta ORIGINAL tiene alguna de estas señales, el bot se salta DIRECTO al modo libre (SQL) SIN intentarlo primero con la IA de tipos fijos — así la corrección no depende únicamente de que el modelo siga la instrucción al pie de la letra.
Probado: 17 casos con necesitaModoLibre() confirmando que SÍ se activa para preguntas con fecha/periodo/conteo reales (incluyendo las 2 preguntas exactas de Julio) y que NO se activa (sigue usando los tipos fijos normalmente) para las preguntas que ya funcionaban bien antes. Prueba de extremo a extremo reproduciendo las 3 preguntas EXACTAS de Julio con una IA de tipos fijos mockeada fiel al comportamiento real observado ("se equivoca" si se le da la oportunidad): confirma que para las preguntas 2 y 3 esa IA NUNCA se llama, y que las 3 respuestas terminan siendo distintas entre sí (antes del arreglo, las 3 hubieran sido la misma). Se volvió a correr toda la batería de pruebas (14 archivos) sin romperse, y se arrancó el servidor completo de nuevo para confirmar que carga sin errores.
ACTUALIZACIÓN 10 (mismo día, 28/08 — prueba de proveedor local): Julio instaló Ollama en su propio equipo y descargó el modelo Qwen2.5:7b, y pidió cambiar el modo consulta de Gemini (en la nube) a Ollama (local) para medir en vivo, por WhatsApp, cuánto se demora responder con un modelo corriendo en su propia máquina/red — sin depender de un servidor externo. Antes de construirlo se encontró que la rama de git en la que Julio quería trabajar todavía no tenía nada del trabajo de IA de hoy (ACTUALIZACIONES 1-9) — se le avisó en vez de asumir, y Julio confirmó que ya había igualado esa rama con develop; se volvió a comparar archivo por archivo contra su equipo antes de seguir, para no arriesgar perder ni mezclar mal ningún cambio.
Se hizo el mismo tipo de cambio COMPLETO de proveedor que las veces anteriores (Claude -&gt; Gemini, ahora Gemini -&gt; Ollama), no un simple interruptor entre los dos — en una rama aparte, para poder volver a la rama de Gemini si el resultado de la prueba no convence. Se quitó el paquete @google/genai y se instaló el paquete oficial "ollama" (npm). GEMINI_API_KEY (llave secreta) se reemplazó por OLLAMA_BASE_URL (dirección del servidor Ollama, no es secreta — por defecto "http://localhost:11434", el mismo equipo; si más adelante Julio pasa Ollama a un computador aparte como "servidor" dedicado, solo hay que cambiar esa dirección en el .env, sin tocar código). MODELO_IA_MODO_CONSULTA pasó a "qwen2.5:7b" por defecto. A diferencia de Gemini, Ollama no necesita ninguna llave de API (corre en la red local de Julio), así que ya no hay un modo "sin IA configurada" — el cliente de Ollama siempre se activa. También se quitó el reintento automático por error 5xx que sí tenía Gemini (pensado para la saturación de un servidor compartido en la nube en horas pico) porque no aplica a un servidor local dedicado de Julio.
Diferencia de comportamiento importante para tener en cuenta durante la prueba: Gemini se podía forzar a SIEMPRE usar la herramienta declarada (modo ANY); Ollama no tiene ese modo forzado — el modelo puede, en teoría, responder en texto plano en vez de llamar la herramienta. El código ya lo maneja bien (se trata igual que cualquier pregunta no reconocida, cae al modo libre o al mensaje de "no entendí", nunca revienta), pero es una diferencia real de confiabilidad entre los dos proveedores que vale la pena que Julio observe mientras prueba.
Se agregaron mediciones de tiempo en la consola del servidor (el objetivo específico de esta prueba): cada vez que se llama a Ollama, tanto para los tipos fijos de pregunta como para el modo libre (SQL), se imprime cuánto tardó en total (reloj real) y, cuando Ollama lo reporta, su propio tiempo interno de "carga del modelo" y "total" — así Julio puede ver los números reales en vivo mientras prueba por WhatsApp, sin tener que calcularlos aparte.
Limitación de esta prueba: este sandbox no tiene acceso a un servidor Ollama real (ollama.com y registry.ollama.ai devuelven "acceso denegado" desde acá), así que todo el código se probó con una IA simulada (mock) que imita exactamente la forma real de las respuestas del paquete "ollama" (confirmada revisando directamente las definiciones de tipos del paquete instalado, no supuesta) — incluyendo el caso de que el modelo no llame ninguna herramienta, y el caso de que Ollama no esté corriendo o no sea alcanzable. Los números de latencia REALES solo los puede ver Julio probando en vivo desde su propio equipo con Ollama corriendo.
Probado (todo con mocks, contra la base real del sandbox para los datos): 8 casos de interpretarConsultaConIA con Ollama (argumentos como objeto y como texto JSON, sin llamada a herramienta, tipo no_reconocido, referencia faltante, falla de conexión, sin cliente, orden inválido normalizado), 5 casos de interpretarYEjecutarConsultaLibre con Ollama (SQL válido, sin llamada a herramienta, tabla prohibida, SQL de escritura — reconfirma que la regla de Julio de "no debe modificar nada, sin excepción" se sigue cumpliendo igual con Ollama —, falla de conexión), y una repetición completa de la prueba de la ACTUALIZACIÓN 9 (las 3 preguntas reales de Julio que antes daban la misma respuesta) adaptada a Ollama, confirmando que la protección de necesitaModoLibre() sigue funcionando igual de bien con el nuevo proveedor. Se corrigió además una prueba existente (test_top_referencias.js) que asumía la forma antigua del esquema de Gemini. Se volvió a correr toda la batería de pruebas de la sesión (14 archivos, incluidos los 2 nuevos de Ollama) sin fallar, y se arrancó el servidor completo de nuevo, confirmando arranque limpio sin ninguna referencia sobrante a Gemini/@google/genai y respondiendo HTTP 200.
PENDIENTE DE JULIO para que esto quede activo en su equipo: correr "npm install" una vez (instala el paquete "ollama" nuevo y quita @google/genai), confirmar que Ollama esté corriendo con el modelo "qwen2.5:7b" descargado, y que su .env no necesita ya GEMINI_API_KEY (puede dejarse vacía u OLLAMA_BASE_URL/MODELO_IA_MODO_CONSULTA en blanco para usar los valores por defecto, que ya apuntan a su propio equipo). Después, probar en vivo por WhatsApp y observar en la consola del servidor las líneas "⏱️ Ollama...tardó..." para comparar la latencia real contra lo que tenía con Gemini.
ACTUALIZACIÓN 11 (cierre de la prueba, mismo día 28/08): con los números reales de la ACTUALIZACIÓN 10 en mano (Ollama + Qwen2.5:7b tardando ~26 segundos por pregunta en el portátil de Julio, Ryzen 5 5500U sin GPU dedicada y 8GB de RAM, contra un par de segundos con Gemini en la nube), Julio decidió seguir con Gemini para el modo consulta en producción — necesita que el bot responda rápido por WhatsApp, y confirmó que no lo va a usar para generar informes o análisis elaborados (eso lo sigue preparando el analista aparte, mejor y con más contexto del que el bot podría dar). La rama de prueba con Ollama no sigue adelante — Julio la va a borrar y vuelve a trabajar sobre la rama develop (con Gemini, tal como quedó en las ACTUALIZACIONES 1-9). Queda documentado el resultado por si en el futuro cambian las condiciones (por ejemplo, si Ollama se monta en un computador dedicado con GPU, como Julio comentó que estaba considerando) — el código del swap completo a Ollama, aunque no se vaya a usar por ahora, no se perdió: quedó en esa rama de prueba, disponible para retomarlo si más adelante se quiere reintentar en mejor hardware.
También se resolvió, aparte de la prueba de proveedor: se documentó en .env.example y en el .env real la variable CARPETA_FOTOS_CABLEADO (ya era configurable en el código, solo faltaba visible/documentada), para que Julio pueda ver todas sus carpetas activas en un solo lugar sin tener que revisar el código.</t>
  </si>
  <si>
    <t xml:space="preserve">2026-08-28</t>
  </si>
  <si>
    <t xml:space="preserve">Diseñar cómo se extrae el número de referencia y la cantidad pedida ("top 10", "últimos 10") de la frase</t>
  </si>
  <si>
    <t xml:space="preserve">Implementada extraerParametrosConsulta() en whatsapp_bot_service.js — enfoque de reglas (decisión del punto 8), sin modelo de lenguaje. Detecta el tipo de pregunta por palabras clave (causal/porcentaje vs. último/top/registros/garantías), saca la cantidad de un patrón "top N"/"últimos N" (default 10 si no la dan — punto 1), y toma la referencia como lo que sigue a la última " de " de la frase (o " las"/" los " si no hay " de ", para cubrir frases como "por qué se dañan las X"). LIMITACIÓN CONOCIDA y a propósito documentada como V1: no hay forma de reconocer la referencia con una regla genérica porque no tienen un formato fijo ("SUP/1077/RS/MUL" vs "123" vs "Referencia prueba") — se apoya en que todos los ejemplos del punto 1 siguen el patrón "... de &lt;referencia&gt;". Falta ponerlo a prueba con casos reales (puntos 18-22). Probado con los 6 ejemplos de frase del punto 1 más varios casos borde (mayúsculas, tildes, sin " de ", vacío, sin número) — todos correctos.</t>
  </si>
  <si>
    <t xml:space="preserve">Consultas a la base de datos</t>
  </si>
  <si>
    <t xml:space="preserve">Construir la consulta de los últimos/top N registros de garantías filtrados por referencia</t>
  </si>
  <si>
    <t xml:space="preserve">Implementada consultarUltimosGarantiasPorReferencia(referencia, n) en data/garantias.js — recibe la referencia y el N ya interpretados (la extracción desde la frase es el punto 9, todavía pendiente) y devuelve las columnas por defecto del punto 15, de más reciente a más antigua, comparando la referencia sin distinguir mayúsculas/minúsculas. Probada contra la base real: trae los registros correctos, no distingue mayúsculas, y devuelve [] (no error) si la referencia no existe. Ya conectada al mensaje real de WhatsApp (modo consulta responde de verdad, ver punto 9).</t>
  </si>
  <si>
    <t xml:space="preserve">Construir la consulta del porcentaje por causal dentro de una referencia</t>
  </si>
  <si>
    <t xml:space="preserve">Implementada consultarPorcentajeCausalPorReferencia(referencia) en data/garantias.js — agrupa por el causal completo (ver punto 12), calcula el porcentaje de cada uno sobre el total de esa referencia (un decimal), y agrupa los registros sin causal como "Sin causal registrado" para que el 100% siga cuadrando con el total real. Probada contra la base real (referencia con 287 registros): la suma de cantidades por causal coincide exacto con el total, y referencia inexistente devuelve [] sin error. Ya conectada al mensaje real de WhatsApp (modo consulta responde de verdad, ver punto 9).</t>
  </si>
  <si>
    <t xml:space="preserve">Confirmar cómo se guarda hoy el campo de causal en cada registro (código del catálogo o texto libre)</t>
  </si>
  <si>
    <t xml:space="preserve">Confirmado revisando la tabla garantias y garantias_tipificacion_problemas: la columna garantias.problema guarda texto libre con el formato "código - descripción" tal como está en el catálogo en el momento de guardar (ej. "G12 - NO PRENDE"), NO solo el código. Se llena desde el autocompletar de Public/garantias_gestion.html contra /api/garantias/problemas/buscar. Puede venir vacío ('') en registros sin causal todavía revisado. Esto ya se tuvo en cuenta al construir la consulta del punto 11: agrupa por ese texto completo y los vacíos los junta aparte como "Sin causal registrado" en vez de perderlos del conteo.</t>
  </si>
  <si>
    <t xml:space="preserve">Permisos</t>
  </si>
  <si>
    <t xml:space="preserve">Agregar un permiso nuevo al catálogo de settings/permisosBot.js para esta función (ej. consulta_garantias_detalle)</t>
  </si>
  <si>
    <t xml:space="preserve">Agregado "consulta_garantias_detalle" al catálogo de settings/permisosBot.js — aparece automático en la pantalla de Números Autorizados (Public/whatsapp_bot.html) porque esa pantalla ya lee el catálogo completo desde GET /api/whatsapp/permisos-bot, sin necesidad de tocar el frontend. De paso se conectó este permiso a la activación del modo consulta (punto 3): ahora escribir "consulta" sin tener el permiso responde "No tienes permiso" en vez de activar el modo — antes de este punto cualquier número autorizado en el bot podía activarlo.</t>
  </si>
  <si>
    <t xml:space="preserve">Confirmar qué números de la lista ya autorizada tendrán este permiso activo</t>
  </si>
  <si>
    <t xml:space="preserve">Pendiente</t>
  </si>
  <si>
    <t xml:space="preserve">Formato de respuesta</t>
  </si>
  <si>
    <t xml:space="preserve">Columnas por defecto en la respuesta: Fecha Reporte, Referencia, Cantidad, Causal/Problema, Estado, Aprobó/Rechazó</t>
  </si>
  <si>
    <t xml:space="preserve">Ya no es solo una definición: quedó implementado directo en la consulta del punto 10 (consultarUltimosGarantiasPorReferencia trae exactamente estas 6 columnas — Fecha Reporte, Referencia, Cantidad, Causal/Problema, Estado, Aprobó/Rechazó — y ninguna otra por defecto).</t>
  </si>
  <si>
    <t xml:space="preserve">Columnas opcionales que solo se agregan si se piden explícitamente: Registro, NIT Cliente, Cliente/Razón Social, Ciudad, Asesora, Remisión, Revisión Gar.</t>
  </si>
  <si>
    <t xml:space="preserve">Ya definido en la planeación. Sigue Pendiente a propósito: agregar estas columnas depende de que el bot sepa qué se pidió explícitamente, y eso requiere la interpretación de la pregunta (puntos 8-9), que todavía no está lista. Las columnas por defecto (punto 15) ya están implementadas y lo único que falta aquí es la lógica que detecte cuándo el usuario pidió alguna de estas de más.</t>
  </si>
  <si>
    <t xml:space="preserve">Definir a partir de cuántos registros la respuesta se manda como PDF en vez de texto, igual que otros reportes del bot</t>
  </si>
  <si>
    <t xml:space="preserve">Baja</t>
  </si>
  <si>
    <t xml:space="preserve">Descartado</t>
  </si>
  <si>
    <t xml:space="preserve">Definido y con el helper listo en whatsapp_bot_service.js (debeEnviarseComoPdf, umbral en UMBRAL_FILAS_PDF_MODO_CONSULTA): a partir de 10 filas la respuesta se manda como PDF, 10 o menos se manda como texto directo en el chat. Se eligió 10 porque coincide con el default de N cuando no se pide una cantidad (punto 1) — una pregunta sin número de por medio siempre cae en texto. Aplica igual para los puntos 10 y 11. YA CONECTADO a la interpretación real (punto 9), pero el lado PDF todavía no tiene plantilla propia (generarPdfReporteGarantias es específica del resumen periódico de calidad, no sirve para esto) — por ahora, aunque se pase el umbral, la respuesta igual se manda como texto, con una nota aclarando que debería ir en PDF. Construir esa plantilla queda como trabajo aparte, no cubierto por este punto.
CIERRE (28/08): Julio confirmó explícitamente que NO quiere que el bot genere informes/PDF — si necesita un análisis o reporte más elaborado, lo prepara el analista aparte, con más contexto del que el bot podría dar. Con esto, la plantilla de PDF pendiente queda descartada (no solo pospuesta): el modo consulta sigue respondiendo siempre como texto, sin importar cuántas filas traiga.</t>
  </si>
  <si>
    <t xml:space="preserve">Pruebas</t>
  </si>
  <si>
    <t xml:space="preserve">Probar referencia inexistente o sin garantías registradas</t>
  </si>
  <si>
    <t xml:space="preserve">Probado: preguntar por una referencia sin registros (o inexistente) responde "No encontré garantías registradas para *&lt;referencia&gt;*.", sin error. IMPORTANTE sobre cómo se probó: no fue con un WhatsApp real (este sandbox no tiene Chrome para levantar el bot de verdad) — se extrajo la lógica real del archivo fuente y se ejecutó contra la base de datos real, simulando los mensajes. Cubre la lógica a fondo, pero conviene una prueba rápida con un número real antes de darlo por completamente cerrado en producción.</t>
  </si>
  <si>
    <t xml:space="preserve">Probar expiración del modo consulta a los 5 minutos</t>
  </si>
  <si>
    <t xml:space="preserve">Probado con el reloj simulado (sin esperar 5 minutos reales): confirma que a los 4 min sigue activo, a los 6 min ya se cerró y avisó, que la actividad (cualquier mensaje) renueva el reloj, y que con varios números activos solo se cierra el que de verdad venció. IMPORTANTE sobre cómo se probó: no fue con un WhatsApp real (este sandbox no tiene Chrome para levantar el bot de verdad) — se extrajo la lógica real del archivo fuente y se ejecutó contra la base de datos real, simulando los mensajes. Cubre la lógica a fondo, pero conviene una prueba rápida con un número real antes de darlo por completamente cerrado en producción.</t>
  </si>
  <si>
    <t xml:space="preserve">Probar "salir" con una sesión de asistencia activa Y el modo consulta activo al mismo tiempo</t>
  </si>
  <si>
    <t xml:space="preserve">Con la decisión del punto 6 (palabra distinta), quedó estructuralmente imposible que se crucen: el código de "salir" (asistencia) no menciona en ningún lado numerosEnModoConsulta, y el de "salir consulta" no toca la base de datos de asistencia. Probado igual con ambos "modos" activos a la vez para el mismo número: "salir" cierra solo la asistencia y deja el modo consulta intacto; "salir consulta" cierra solo el modo consulta y deja la asistencia intacta. IMPORTANTE sobre cómo se probó: no fue con un WhatsApp real (este sandbox no tiene Chrome para levantar el bot de verdad) — se extrajo la lógica real del archivo fuente y se ejecutó contra la base de datos real, simulando los mensajes. Cubre la lógica a fondo, pero conviene una prueba rápida con un número real antes de darlo por completamente cerrado en producción.</t>
  </si>
  <si>
    <t xml:space="preserve">Probar número sin el nuevo permiso intentando escribir "consulta"</t>
  </si>
  <si>
    <t xml:space="preserve">Probado: un número sin el permiso "consulta_garantias_detalle" que escribe "consulta" recibe el mensaje de sin permiso y NO queda activado en el modo; un número con el permiso sí se activa; un número admin (es_admin=true) se activa aunque no tenga la casilla marcada, como interruptor maestro (mismo criterio que el resto del bot). IMPORTANTE sobre cómo se probó: no fue con un WhatsApp real (este sandbox no tiene Chrome para levantar el bot de verdad) — se extrajo la lógica real del archivo fuente y se ejecutó contra la base de datos real, simulando los mensajes. Cubre la lógica a fondo, pero conviene una prueba rápida con un número real antes de darlo por completamente cerrado en producción.</t>
  </si>
  <si>
    <t xml:space="preserve">Probar una pregunta ambigua o fuera de los formatos soportados</t>
  </si>
  <si>
    <t xml:space="preserve">Probado con varias frases que no encajan en ningún formato ("hola", "ayuda", "cuál es el clima hoy", "garantías" sola sin referencia): en todos los casos el bot responde el mensaje de "no entendí" (punto 2) en vez de fallar o quedarse en silencio. IMPORTANTE sobre cómo se probó: no fue con un WhatsApp real (este sandbox no tiene Chrome para levantar el bot de verdad) — se extrajo la lógica real del archivo fuente y se ejecutó contra la base de datos real, simulando los mensajes. Cubre la lógica a fondo, pero conviene una prueba rápida con un número real antes de darlo por completamente cerrado en producción.</t>
  </si>
  <si>
    <t xml:space="preserve">Extensión futura</t>
  </si>
  <si>
    <t xml:space="preserve">Evaluar replicar el patrón de modo consulta a otros módulos (inventario, producción, etc.) una vez validado con garantías</t>
  </si>
  <si>
    <t xml:space="preserve">Comando "reportes" (PDF por menú)</t>
  </si>
  <si>
    <t xml:space="preserve">Comando "reportes": asistente por número (módulo → tipo → periodo) que entrega el PDF de Garantías, Metrología o Muestreos</t>
  </si>
  <si>
    <t xml:space="preserve">Después de cerrar la prueba de Ollama y volver a develop/Gemini (ver ACTUALIZACIÓN 11 del punto 9), Julio pidió una función nueva y separada del modo consulta: un comando "reportes" para pedir, bajo demanda, el PDF de un módulo completo (Garantías, Metrología o Muestreos) por WhatsApp, en vez de tener que acordarse de comandos de una sola línea con argumentos (ej. "garantias mensual agosto 2026"). Antes de programar nada se armó primero un documento de planeación (Reportes_Predeterminados_Bot_WhatsApp.xlsx) con una lista de reportes candidatos — pero, revisando el código ya existente, se encontró que buena parte de la infraestructura de reportes en PDF ya existía (roadmap #2: pdfResumenCalidad.js y pdfReporteGarantias.js, con sus comandos "diario/quincenal/mensual" y "garantias diario/quincenal/mensual"), así que en vez de construir mockups se generaron y se le mostraron a Julio PDFs reales con datos del sandbox — confirmó que sí quería reutilizar esos dos, evitando duplicar trabajo.
Diseño final, confirmado con Julio en varias rondas de preguntas: escribir "reportes" abre un asistente por número (sin necesidad de recordar comandos) — 1) elegir módulo (1. Garantías 🛡️ / 2. Metrología 📏 / 3. Muestreos 🧪), 2) elegir tipo (1. Mensual / 2. Quincenal / 3. General = histórico completo, sin confirmación adicional), 3) si es Mensual o Quincenal, elegir el periodo (1. el actual, en curso / 2. uno anterior, de una lista numerada de los últimos 6 ya cerrados) — y al final se genera y se manda el PDF. "0" o "cancelar" cierra el asistente en cualquier paso. Un solo permiso nuevo "reportes" habilita las 3 pantallas del menú (decisión de Julio: más simple de administrar que separar por módulo, a diferencia de calidad_diario/quincenal/mensual/garantias que sí están separados). El asistente se cierra "en silencio" a los 5 minutos de inactividad (sin aviso proactivo, a propósito, a diferencia del modo consulta) — revisión perezosa al llegar el siguiente mensaje, no un barrido periódico aparte.
Por módulo: Garantías reutiliza tal cual generarPdfReporteGarantias/obtenerGarantiasReportePeriodo (ya existían). Muestreos reutiliza tal cual el Resumen de Calidad completo (generarPdfResumenCalidad/obtenerResumenPeriodo) — decisión explícita de Julio, aunque ese PDF también trae secciones de Garantías/Metrología. Metrología SÍ es contenido nuevo, porque antes solo existía el reporte de UNA inspección individual, no uno periódico: se construyó obtenerMetrologiaReportePeriodo() en data/calidad.js (inspecciones/medidas del periodo, conformes/fuera de tolerancia, top de referencias con más problemas, detalle de medidas fuera de tolerancia con su desviación) y el archivo nuevo utils/pdfReporteMetrologia.js, con el mismo toolkit visual institucional (utils/pdfIso2859.js) que ya usan los otros reportes, para que se vea parte de la misma familia.
Archivos modificados: whatsapp_bot_service.js (todo el asistente: menús, máquina de estados manejarPasoReportes, helpers de fechas para los periodos anteriores, el comando de entrada "reportes" y la intercepción del estado activo — insertados ANTES que el registro de entrada/salida de área, para que un número suelto respondido dentro del asistente no se confunda con un intento de marcar área), settings/permisosBot.js (permiso nuevo "reportes"), data/calidad.js (obtenerMetrologiaReportePeriodo). Archivo nuevo: utils/pdfReporteMetrologia.js.
Probado: batería nueva (test_reportes_wizard.js, funciones reales extraídas del archivo fuente) — helpers de fechas (incluye cruce de año), máquina de estados completa en los 3 módulos con datos reales del sandbox (Garantías→Mensual→actual, Metrología→Quincenal→anterior #3, Muestreos→General), cancelación con "0" y "cancelar", y manejo de entradas inválidas/no numéricas en cada paso sin romper el asistente — generando PDFs reales de los 3 módulos contra la base de datos del sandbox. Se corrió además la batería existente relacionada (modo consulta, con y sin timeout) sin romperse. Se hizo una revisión aparte del historial de git antes de empezar a construir, porque se encontró que develop en el equipo de Julio había quedado con un commit que aún traía el código de la prueba de Ollama por accidente — se corrigió con checkout al commit correcto antes de seguir (ver detalle más abajo). Servidor arrancado completo (node app_circuitos.js): arranque limpio, HTTP 200.
Corrección aparte, en el camino: al retomar el trabajo tras cerrar la prueba de Ollama, se detectó que la rama develop en el equipo de Julio había quedado con un commit ("cambios en reportes PDF") que sin querer conservó los archivos modificados de la prueba de Ollama en vez de la versión con Gemini. Se diagnosticó revisando git status/log/branch (sin acceso directo a su equipo, por chat) y se corrigió haciendo checkout de whatsapp_bot_service.js/settings/paths.js/package.json/package-lock.json desde el commit correcto anterior ("bot de whatsapp con geminis"), commit y push — confirmado por Julio y re-verificado desde acá antes de construir el comando "reportes" sobre esa base ya corregida.</t>
  </si>
  <si>
    <t xml:space="preserve">2026-08-31</t>
  </si>
  <si>
    <t xml:space="preserve">Resumen de avance</t>
  </si>
  <si>
    <t xml:space="preserve">Cantidad</t>
  </si>
  <si>
    <t xml:space="preserve">En progreso</t>
  </si>
  <si>
    <t xml:space="preserve">No aplica</t>
  </si>
  <si>
    <t xml:space="preserve">Total de tareas</t>
  </si>
  <si>
    <t xml:space="preserve">% completado</t>
  </si>
  <si>
    <t xml:space="preserve">Tareas críticas pendientes</t>
  </si>
</sst>
</file>

<file path=xl/styles.xml><?xml version="1.0" encoding="utf-8"?>
<styleSheet xmlns="http://schemas.openxmlformats.org/spreadsheetml/2006/main">
  <numFmts count="2">
    <numFmt numFmtId="164" formatCode="General"/>
    <numFmt numFmtId="165" formatCode="0%"/>
  </numFmts>
  <fonts count="8">
    <font>
      <sz val="11"/>
      <color theme="1"/>
      <name val="Calibri"/>
      <family val="2"/>
      <charset val="1"/>
    </font>
    <font>
      <sz val="10"/>
      <name val="Arial"/>
      <family val="0"/>
    </font>
    <font>
      <sz val="10"/>
      <name val="Arial"/>
      <family val="0"/>
    </font>
    <font>
      <sz val="10"/>
      <name val="Arial"/>
      <family val="0"/>
    </font>
    <font>
      <b val="true"/>
      <sz val="11"/>
      <color rgb="FFFFFFFF"/>
      <name val="Arial"/>
      <family val="2"/>
      <charset val="1"/>
    </font>
    <font>
      <sz val="11"/>
      <name val="Arial"/>
      <family val="2"/>
      <charset val="1"/>
    </font>
    <font>
      <b val="true"/>
      <sz val="13"/>
      <name val="Arial"/>
      <family val="2"/>
      <charset val="1"/>
    </font>
    <font>
      <b val="true"/>
      <sz val="11"/>
      <name val="Arial"/>
      <family val="2"/>
      <charset val="1"/>
    </font>
  </fonts>
  <fills count="15">
    <fill>
      <patternFill patternType="none"/>
    </fill>
    <fill>
      <patternFill patternType="gray125"/>
    </fill>
    <fill>
      <patternFill patternType="solid">
        <fgColor rgb="FF1F2937"/>
        <bgColor rgb="FF333300"/>
      </patternFill>
    </fill>
    <fill>
      <patternFill patternType="solid">
        <fgColor rgb="FFD6EAF8"/>
        <bgColor rgb="FFD5F5E3"/>
      </patternFill>
    </fill>
    <fill>
      <patternFill patternType="solid">
        <fgColor rgb="FFE67E22"/>
        <bgColor rgb="FFFF9900"/>
      </patternFill>
    </fill>
    <fill>
      <patternFill patternType="solid">
        <fgColor rgb="FFF1C40F"/>
        <bgColor rgb="FFFF9900"/>
      </patternFill>
    </fill>
    <fill>
      <patternFill patternType="solid">
        <fgColor rgb="FFE8DAEF"/>
        <bgColor rgb="FFEAE0F8"/>
      </patternFill>
    </fill>
    <fill>
      <patternFill patternType="solid">
        <fgColor rgb="FFC0392B"/>
        <bgColor rgb="FF993366"/>
      </patternFill>
    </fill>
    <fill>
      <patternFill patternType="solid">
        <fgColor rgb="FFFCF3CF"/>
        <bgColor rgb="FFFDEBD0"/>
      </patternFill>
    </fill>
    <fill>
      <patternFill patternType="solid">
        <fgColor rgb="FFFDEBD0"/>
        <bgColor rgb="FFFCF3CF"/>
      </patternFill>
    </fill>
    <fill>
      <patternFill patternType="solid">
        <fgColor rgb="FFEAE0F8"/>
        <bgColor rgb="FFE8DAEF"/>
      </patternFill>
    </fill>
    <fill>
      <patternFill patternType="solid">
        <fgColor rgb="FFD5F5E3"/>
        <bgColor rgb="FFD6EAF8"/>
      </patternFill>
    </fill>
    <fill>
      <patternFill patternType="solid">
        <fgColor rgb="FF7F8C8D"/>
        <bgColor rgb="FF969696"/>
      </patternFill>
    </fill>
    <fill>
      <patternFill patternType="solid">
        <fgColor rgb="FFFDE2E1"/>
        <bgColor rgb="FFFDEBD0"/>
      </patternFill>
    </fill>
    <fill>
      <patternFill patternType="solid">
        <fgColor rgb="FFD2B4DE"/>
        <bgColor rgb="FFCC99FF"/>
      </patternFill>
    </fill>
  </fills>
  <borders count="2">
    <border diagonalUp="false" diagonalDown="false">
      <left/>
      <right/>
      <top/>
      <bottom/>
      <diagonal/>
    </border>
    <border diagonalUp="false" diagonalDown="false">
      <left style="thin">
        <color rgb="FFD1D5DB"/>
      </left>
      <right style="thin">
        <color rgb="FFD1D5DB"/>
      </right>
      <top style="thin">
        <color rgb="FFD1D5DB"/>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center" textRotation="0" wrapText="true" indent="0" shrinkToFit="false"/>
      <protection locked="true" hidden="false"/>
    </xf>
    <xf numFmtId="164" fontId="4" fillId="4" borderId="1" xfId="0" applyFont="true" applyBorder="true" applyAlignment="true" applyProtection="false">
      <alignment horizontal="center" vertical="center" textRotation="0" wrapText="false" indent="0" shrinkToFit="false"/>
      <protection locked="true" hidden="false"/>
    </xf>
    <xf numFmtId="164" fontId="4" fillId="5" borderId="1" xfId="0" applyFont="true" applyBorder="true" applyAlignment="true" applyProtection="false">
      <alignment horizontal="center" vertical="center" textRotation="0" wrapText="false" indent="0" shrinkToFit="false"/>
      <protection locked="true" hidden="false"/>
    </xf>
    <xf numFmtId="164" fontId="5" fillId="6" borderId="1" xfId="0" applyFont="true" applyBorder="true" applyAlignment="true" applyProtection="false">
      <alignment horizontal="general" vertical="center" textRotation="0" wrapText="true" indent="0" shrinkToFit="false"/>
      <protection locked="true" hidden="false"/>
    </xf>
    <xf numFmtId="164" fontId="4" fillId="7" borderId="1" xfId="0" applyFont="true" applyBorder="true" applyAlignment="true" applyProtection="false">
      <alignment horizontal="center" vertical="center" textRotation="0" wrapText="false" indent="0" shrinkToFit="false"/>
      <protection locked="true" hidden="false"/>
    </xf>
    <xf numFmtId="164" fontId="5" fillId="8" borderId="1" xfId="0" applyFont="true" applyBorder="true" applyAlignment="true" applyProtection="false">
      <alignment horizontal="general" vertical="center" textRotation="0" wrapText="true" indent="0" shrinkToFit="false"/>
      <protection locked="true" hidden="false"/>
    </xf>
    <xf numFmtId="164" fontId="5" fillId="9" borderId="1" xfId="0" applyFont="true" applyBorder="true" applyAlignment="true" applyProtection="false">
      <alignment horizontal="general" vertical="center" textRotation="0" wrapText="true" indent="0" shrinkToFit="false"/>
      <protection locked="true" hidden="false"/>
    </xf>
    <xf numFmtId="164" fontId="5" fillId="10" borderId="1" xfId="0" applyFont="true" applyBorder="true" applyAlignment="true" applyProtection="false">
      <alignment horizontal="general" vertical="center" textRotation="0" wrapText="true" indent="0" shrinkToFit="false"/>
      <protection locked="true" hidden="false"/>
    </xf>
    <xf numFmtId="164" fontId="5" fillId="11" borderId="1" xfId="0" applyFont="true" applyBorder="true" applyAlignment="true" applyProtection="false">
      <alignment horizontal="general" vertical="center" textRotation="0" wrapText="true" indent="0" shrinkToFit="false"/>
      <protection locked="true" hidden="false"/>
    </xf>
    <xf numFmtId="164" fontId="4" fillId="12" borderId="1" xfId="0" applyFont="true" applyBorder="true" applyAlignment="true" applyProtection="false">
      <alignment horizontal="center" vertical="center" textRotation="0" wrapText="false" indent="0" shrinkToFit="false"/>
      <protection locked="true" hidden="false"/>
    </xf>
    <xf numFmtId="164" fontId="5" fillId="13" borderId="1" xfId="0" applyFont="true" applyBorder="true" applyAlignment="true" applyProtection="false">
      <alignment horizontal="general" vertical="center" textRotation="0" wrapText="true" indent="0" shrinkToFit="false"/>
      <protection locked="true" hidden="false"/>
    </xf>
    <xf numFmtId="164" fontId="5" fillId="14" borderId="1" xfId="0" applyFont="true" applyBorder="true" applyAlignment="true" applyProtection="false">
      <alignment horizontal="general" vertical="center"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5">
    <dxf>
      <fill>
        <patternFill patternType="solid">
          <fgColor rgb="FF1F2937"/>
          <bgColor rgb="FF000000"/>
        </patternFill>
      </fill>
    </dxf>
    <dxf>
      <fill>
        <patternFill patternType="solid">
          <bgColor rgb="FF000000"/>
        </patternFill>
      </fill>
    </dxf>
    <dxf>
      <fill>
        <patternFill patternType="solid">
          <fgColor rgb="FFFFFFFF"/>
          <bgColor rgb="FF000000"/>
        </patternFill>
      </fill>
    </dxf>
    <dxf>
      <fill>
        <patternFill patternType="solid">
          <fgColor rgb="FFD2B4DE"/>
          <bgColor rgb="FF000000"/>
        </patternFill>
      </fill>
    </dxf>
    <dxf>
      <fill>
        <patternFill patternType="solid">
          <fgColor rgb="FFD5F5E3"/>
          <bgColor rgb="FF000000"/>
        </patternFill>
      </fill>
    </dxf>
    <dxf>
      <fill>
        <patternFill patternType="solid">
          <fgColor rgb="FFD6EAF8"/>
          <bgColor rgb="FF000000"/>
        </patternFill>
      </fill>
    </dxf>
    <dxf>
      <fill>
        <patternFill patternType="solid">
          <fgColor rgb="FFE8DAEF"/>
          <bgColor rgb="FF000000"/>
        </patternFill>
      </fill>
    </dxf>
    <dxf>
      <fill>
        <patternFill patternType="solid">
          <fgColor rgb="FFEAE0F8"/>
          <bgColor rgb="FF000000"/>
        </patternFill>
      </fill>
    </dxf>
    <dxf>
      <fill>
        <patternFill patternType="solid">
          <fgColor rgb="FFFCF3CF"/>
          <bgColor rgb="FF000000"/>
        </patternFill>
      </fill>
    </dxf>
    <dxf>
      <fill>
        <patternFill patternType="solid">
          <fgColor rgb="FFFDE2E1"/>
          <bgColor rgb="FF000000"/>
        </patternFill>
      </fill>
    </dxf>
    <dxf>
      <fill>
        <patternFill patternType="solid">
          <fgColor rgb="FFFDEBD0"/>
          <bgColor rgb="FF000000"/>
        </patternFill>
      </fill>
    </dxf>
    <dxf>
      <fill>
        <patternFill patternType="solid">
          <fgColor rgb="FF7F8C8D"/>
          <bgColor rgb="FF000000"/>
        </patternFill>
      </fill>
    </dxf>
    <dxf>
      <fill>
        <patternFill patternType="solid">
          <fgColor rgb="FFC0392B"/>
          <bgColor rgb="FF000000"/>
        </patternFill>
      </fill>
    </dxf>
    <dxf>
      <fill>
        <patternFill patternType="solid">
          <fgColor rgb="FFE67E22"/>
          <bgColor rgb="FF000000"/>
        </patternFill>
      </fill>
    </dxf>
    <dxf>
      <fill>
        <patternFill patternType="solid">
          <fgColor rgb="FFF1C40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2B4DE"/>
      <rgbColor rgb="FF7F8C8D"/>
      <rgbColor rgb="FF9999FF"/>
      <rgbColor rgb="FF993366"/>
      <rgbColor rgb="FFFCF3CF"/>
      <rgbColor rgb="FFD6EAF8"/>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EAE0F8"/>
      <rgbColor rgb="FFD5F5E3"/>
      <rgbColor rgb="FFFDEBD0"/>
      <rgbColor rgb="FFE8DAEF"/>
      <rgbColor rgb="FFFF99CC"/>
      <rgbColor rgb="FFCC99FF"/>
      <rgbColor rgb="FFFDE2E1"/>
      <rgbColor rgb="FF3366FF"/>
      <rgbColor rgb="FF33CCCC"/>
      <rgbColor rgb="FF99CC00"/>
      <rgbColor rgb="FFF1C40F"/>
      <rgbColor rgb="FFFF9900"/>
      <rgbColor rgb="FFE67E22"/>
      <rgbColor rgb="FF666699"/>
      <rgbColor rgb="FF969696"/>
      <rgbColor rgb="FF003366"/>
      <rgbColor rgb="FF339966"/>
      <rgbColor rgb="FF003300"/>
      <rgbColor rgb="FF333300"/>
      <rgbColor rgb="FFC0392B"/>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D8" activeCellId="0" sqref="D8"/>
    </sheetView>
  </sheetViews>
  <sheetFormatPr defaultColWidth="8.71484375" defaultRowHeight="15" zeroHeight="false" outlineLevelRow="0" outlineLevelCol="0"/>
  <cols>
    <col collapsed="false" customWidth="true" hidden="false" outlineLevel="0" max="1" min="1" style="1" width="5"/>
    <col collapsed="false" customWidth="true" hidden="false" outlineLevel="0" max="2" min="2" style="1" width="24"/>
    <col collapsed="false" customWidth="true" hidden="false" outlineLevel="0" max="3" min="3" style="1" width="62"/>
    <col collapsed="false" customWidth="true" hidden="false" outlineLevel="0" max="4" min="4" style="1" width="12"/>
    <col collapsed="false" customWidth="true" hidden="false" outlineLevel="0" max="5" min="5" style="1" width="14"/>
    <col collapsed="false" customWidth="true" hidden="false" outlineLevel="0" max="6" min="6" style="1" width="70"/>
    <col collapsed="false" customWidth="true" hidden="false" outlineLevel="0" max="7" min="7" style="1" width="18"/>
  </cols>
  <sheetData>
    <row r="1" customFormat="false" ht="30" hidden="false" customHeight="true" outlineLevel="0" collapsed="false">
      <c r="A1" s="2" t="s">
        <v>0</v>
      </c>
      <c r="B1" s="2" t="s">
        <v>1</v>
      </c>
      <c r="C1" s="2" t="s">
        <v>2</v>
      </c>
      <c r="D1" s="2" t="s">
        <v>3</v>
      </c>
      <c r="E1" s="2" t="s">
        <v>4</v>
      </c>
      <c r="F1" s="2" t="s">
        <v>5</v>
      </c>
      <c r="G1" s="2" t="s">
        <v>6</v>
      </c>
    </row>
    <row r="2" customFormat="false" ht="42.75" hidden="false" customHeight="true" outlineLevel="0" collapsed="false">
      <c r="A2" s="3" t="n">
        <v>1</v>
      </c>
      <c r="B2" s="4" t="s">
        <v>7</v>
      </c>
      <c r="C2" s="5" t="s">
        <v>8</v>
      </c>
      <c r="D2" s="6" t="s">
        <v>9</v>
      </c>
      <c r="E2" s="3" t="s">
        <v>10</v>
      </c>
      <c r="F2" s="5" t="s">
        <v>11</v>
      </c>
      <c r="G2" s="3" t="s">
        <v>12</v>
      </c>
    </row>
    <row r="3" customFormat="false" ht="28.5" hidden="false" customHeight="true" outlineLevel="0" collapsed="false">
      <c r="A3" s="3" t="n">
        <v>2</v>
      </c>
      <c r="B3" s="4" t="s">
        <v>7</v>
      </c>
      <c r="C3" s="5" t="s">
        <v>13</v>
      </c>
      <c r="D3" s="7" t="s">
        <v>14</v>
      </c>
      <c r="E3" s="3" t="s">
        <v>10</v>
      </c>
      <c r="F3" s="5" t="s">
        <v>15</v>
      </c>
      <c r="G3" s="3" t="s">
        <v>12</v>
      </c>
    </row>
    <row r="4" customFormat="false" ht="28.5" hidden="false" customHeight="true" outlineLevel="0" collapsed="false">
      <c r="A4" s="3" t="n">
        <v>3</v>
      </c>
      <c r="B4" s="8" t="s">
        <v>16</v>
      </c>
      <c r="C4" s="5" t="s">
        <v>17</v>
      </c>
      <c r="D4" s="6" t="s">
        <v>9</v>
      </c>
      <c r="E4" s="3" t="s">
        <v>10</v>
      </c>
      <c r="F4" s="5" t="s">
        <v>18</v>
      </c>
      <c r="G4" s="3" t="s">
        <v>12</v>
      </c>
    </row>
    <row r="5" customFormat="false" ht="28.5" hidden="false" customHeight="true" outlineLevel="0" collapsed="false">
      <c r="A5" s="3" t="n">
        <v>4</v>
      </c>
      <c r="B5" s="8" t="s">
        <v>16</v>
      </c>
      <c r="C5" s="5" t="s">
        <v>19</v>
      </c>
      <c r="D5" s="6" t="s">
        <v>9</v>
      </c>
      <c r="E5" s="3" t="s">
        <v>10</v>
      </c>
      <c r="F5" s="5" t="s">
        <v>20</v>
      </c>
      <c r="G5" s="3" t="s">
        <v>12</v>
      </c>
    </row>
    <row r="6" customFormat="false" ht="28.5" hidden="false" customHeight="true" outlineLevel="0" collapsed="false">
      <c r="A6" s="3" t="n">
        <v>5</v>
      </c>
      <c r="B6" s="8" t="s">
        <v>16</v>
      </c>
      <c r="C6" s="5" t="s">
        <v>21</v>
      </c>
      <c r="D6" s="6" t="s">
        <v>9</v>
      </c>
      <c r="E6" s="3" t="s">
        <v>10</v>
      </c>
      <c r="F6" s="5" t="s">
        <v>22</v>
      </c>
      <c r="G6" s="3" t="s">
        <v>12</v>
      </c>
    </row>
    <row r="7" customFormat="false" ht="42.75" hidden="false" customHeight="true" outlineLevel="0" collapsed="false">
      <c r="A7" s="3" t="n">
        <v>6</v>
      </c>
      <c r="B7" s="8" t="s">
        <v>16</v>
      </c>
      <c r="C7" s="5" t="s">
        <v>23</v>
      </c>
      <c r="D7" s="9" t="s">
        <v>24</v>
      </c>
      <c r="E7" s="3" t="s">
        <v>10</v>
      </c>
      <c r="F7" s="5" t="s">
        <v>25</v>
      </c>
      <c r="G7" s="3" t="s">
        <v>12</v>
      </c>
    </row>
    <row r="8" customFormat="false" ht="42.75" hidden="false" customHeight="true" outlineLevel="0" collapsed="false">
      <c r="A8" s="3" t="n">
        <v>7</v>
      </c>
      <c r="B8" s="8" t="s">
        <v>16</v>
      </c>
      <c r="C8" s="5" t="s">
        <v>26</v>
      </c>
      <c r="D8" s="6" t="s">
        <v>9</v>
      </c>
      <c r="E8" s="3" t="s">
        <v>10</v>
      </c>
      <c r="F8" s="5" t="s">
        <v>27</v>
      </c>
      <c r="G8" s="3" t="s">
        <v>12</v>
      </c>
    </row>
    <row r="9" customFormat="false" ht="42.75" hidden="false" customHeight="true" outlineLevel="0" collapsed="false">
      <c r="A9" s="3" t="n">
        <v>8</v>
      </c>
      <c r="B9" s="10" t="s">
        <v>28</v>
      </c>
      <c r="C9" s="5" t="s">
        <v>29</v>
      </c>
      <c r="D9" s="9" t="s">
        <v>24</v>
      </c>
      <c r="E9" s="3" t="s">
        <v>10</v>
      </c>
      <c r="F9" s="5" t="s">
        <v>30</v>
      </c>
      <c r="G9" s="3" t="s">
        <v>31</v>
      </c>
    </row>
    <row r="10" customFormat="false" ht="28.5" hidden="false" customHeight="true" outlineLevel="0" collapsed="false">
      <c r="A10" s="3" t="n">
        <v>9</v>
      </c>
      <c r="B10" s="10" t="s">
        <v>28</v>
      </c>
      <c r="C10" s="5" t="s">
        <v>32</v>
      </c>
      <c r="D10" s="6" t="s">
        <v>9</v>
      </c>
      <c r="E10" s="3" t="s">
        <v>10</v>
      </c>
      <c r="F10" s="5" t="s">
        <v>33</v>
      </c>
      <c r="G10" s="3" t="s">
        <v>12</v>
      </c>
    </row>
    <row r="11" customFormat="false" ht="28.5" hidden="false" customHeight="true" outlineLevel="0" collapsed="false">
      <c r="A11" s="3" t="n">
        <v>10</v>
      </c>
      <c r="B11" s="11" t="s">
        <v>34</v>
      </c>
      <c r="C11" s="5" t="s">
        <v>35</v>
      </c>
      <c r="D11" s="6" t="s">
        <v>9</v>
      </c>
      <c r="E11" s="3" t="s">
        <v>10</v>
      </c>
      <c r="F11" s="5" t="s">
        <v>36</v>
      </c>
      <c r="G11" s="3" t="s">
        <v>12</v>
      </c>
    </row>
    <row r="12" customFormat="false" ht="28.5" hidden="false" customHeight="true" outlineLevel="0" collapsed="false">
      <c r="A12" s="3" t="n">
        <v>11</v>
      </c>
      <c r="B12" s="11" t="s">
        <v>34</v>
      </c>
      <c r="C12" s="5" t="s">
        <v>37</v>
      </c>
      <c r="D12" s="6" t="s">
        <v>9</v>
      </c>
      <c r="E12" s="3" t="s">
        <v>10</v>
      </c>
      <c r="F12" s="5" t="s">
        <v>38</v>
      </c>
      <c r="G12" s="3" t="s">
        <v>12</v>
      </c>
    </row>
    <row r="13" customFormat="false" ht="28.5" hidden="false" customHeight="true" outlineLevel="0" collapsed="false">
      <c r="A13" s="3" t="n">
        <v>12</v>
      </c>
      <c r="B13" s="11" t="s">
        <v>34</v>
      </c>
      <c r="C13" s="5" t="s">
        <v>39</v>
      </c>
      <c r="D13" s="7" t="s">
        <v>14</v>
      </c>
      <c r="E13" s="3" t="s">
        <v>10</v>
      </c>
      <c r="F13" s="5" t="s">
        <v>40</v>
      </c>
      <c r="G13" s="3" t="s">
        <v>12</v>
      </c>
    </row>
    <row r="14" customFormat="false" ht="42.75" hidden="false" customHeight="true" outlineLevel="0" collapsed="false">
      <c r="A14" s="3" t="n">
        <v>13</v>
      </c>
      <c r="B14" s="12" t="s">
        <v>41</v>
      </c>
      <c r="C14" s="5" t="s">
        <v>42</v>
      </c>
      <c r="D14" s="6" t="s">
        <v>9</v>
      </c>
      <c r="E14" s="3" t="s">
        <v>10</v>
      </c>
      <c r="F14" s="5" t="s">
        <v>43</v>
      </c>
      <c r="G14" s="3" t="s">
        <v>12</v>
      </c>
    </row>
    <row r="15" customFormat="false" ht="28.5" hidden="false" customHeight="true" outlineLevel="0" collapsed="false">
      <c r="A15" s="3" t="n">
        <v>14</v>
      </c>
      <c r="B15" s="12" t="s">
        <v>41</v>
      </c>
      <c r="C15" s="5" t="s">
        <v>44</v>
      </c>
      <c r="D15" s="7" t="s">
        <v>14</v>
      </c>
      <c r="E15" s="3" t="s">
        <v>45</v>
      </c>
      <c r="F15" s="5"/>
      <c r="G15" s="3"/>
    </row>
    <row r="16" customFormat="false" ht="42.75" hidden="false" customHeight="true" outlineLevel="0" collapsed="false">
      <c r="A16" s="3" t="n">
        <v>15</v>
      </c>
      <c r="B16" s="13" t="s">
        <v>46</v>
      </c>
      <c r="C16" s="5" t="s">
        <v>47</v>
      </c>
      <c r="D16" s="7" t="s">
        <v>14</v>
      </c>
      <c r="E16" s="3" t="s">
        <v>10</v>
      </c>
      <c r="F16" s="5" t="s">
        <v>48</v>
      </c>
      <c r="G16" s="3" t="s">
        <v>12</v>
      </c>
    </row>
    <row r="17" customFormat="false" ht="42.75" hidden="false" customHeight="true" outlineLevel="0" collapsed="false">
      <c r="A17" s="3" t="n">
        <v>16</v>
      </c>
      <c r="B17" s="13" t="s">
        <v>46</v>
      </c>
      <c r="C17" s="5" t="s">
        <v>49</v>
      </c>
      <c r="D17" s="7" t="s">
        <v>14</v>
      </c>
      <c r="E17" s="3" t="s">
        <v>45</v>
      </c>
      <c r="F17" s="5" t="s">
        <v>50</v>
      </c>
      <c r="G17" s="3"/>
    </row>
    <row r="18" customFormat="false" ht="28.5" hidden="false" customHeight="true" outlineLevel="0" collapsed="false">
      <c r="A18" s="3" t="n">
        <v>17</v>
      </c>
      <c r="B18" s="13" t="s">
        <v>46</v>
      </c>
      <c r="C18" s="5" t="s">
        <v>51</v>
      </c>
      <c r="D18" s="14" t="s">
        <v>52</v>
      </c>
      <c r="E18" s="3" t="s">
        <v>53</v>
      </c>
      <c r="F18" s="5" t="s">
        <v>54</v>
      </c>
      <c r="G18" s="3" t="s">
        <v>31</v>
      </c>
    </row>
    <row r="19" customFormat="false" ht="15" hidden="false" customHeight="true" outlineLevel="0" collapsed="false">
      <c r="A19" s="3" t="n">
        <v>18</v>
      </c>
      <c r="B19" s="15" t="s">
        <v>55</v>
      </c>
      <c r="C19" s="5" t="s">
        <v>56</v>
      </c>
      <c r="D19" s="7" t="s">
        <v>14</v>
      </c>
      <c r="E19" s="3" t="s">
        <v>10</v>
      </c>
      <c r="F19" s="5" t="s">
        <v>57</v>
      </c>
      <c r="G19" s="3" t="s">
        <v>12</v>
      </c>
    </row>
    <row r="20" customFormat="false" ht="15" hidden="false" customHeight="true" outlineLevel="0" collapsed="false">
      <c r="A20" s="3" t="n">
        <v>19</v>
      </c>
      <c r="B20" s="15" t="s">
        <v>55</v>
      </c>
      <c r="C20" s="5" t="s">
        <v>58</v>
      </c>
      <c r="D20" s="7" t="s">
        <v>14</v>
      </c>
      <c r="E20" s="3" t="s">
        <v>10</v>
      </c>
      <c r="F20" s="5" t="s">
        <v>59</v>
      </c>
      <c r="G20" s="3" t="s">
        <v>12</v>
      </c>
    </row>
    <row r="21" customFormat="false" ht="28.5" hidden="false" customHeight="true" outlineLevel="0" collapsed="false">
      <c r="A21" s="3" t="n">
        <v>20</v>
      </c>
      <c r="B21" s="15" t="s">
        <v>55</v>
      </c>
      <c r="C21" s="5" t="s">
        <v>60</v>
      </c>
      <c r="D21" s="6" t="s">
        <v>9</v>
      </c>
      <c r="E21" s="3" t="s">
        <v>10</v>
      </c>
      <c r="F21" s="5" t="s">
        <v>61</v>
      </c>
      <c r="G21" s="3" t="s">
        <v>12</v>
      </c>
    </row>
    <row r="22" customFormat="false" ht="28.5" hidden="false" customHeight="true" outlineLevel="0" collapsed="false">
      <c r="A22" s="3" t="n">
        <v>21</v>
      </c>
      <c r="B22" s="15" t="s">
        <v>55</v>
      </c>
      <c r="C22" s="5" t="s">
        <v>62</v>
      </c>
      <c r="D22" s="7" t="s">
        <v>14</v>
      </c>
      <c r="E22" s="3" t="s">
        <v>10</v>
      </c>
      <c r="F22" s="5" t="s">
        <v>63</v>
      </c>
      <c r="G22" s="3" t="s">
        <v>12</v>
      </c>
    </row>
    <row r="23" customFormat="false" ht="28.5" hidden="false" customHeight="true" outlineLevel="0" collapsed="false">
      <c r="A23" s="3" t="n">
        <v>22</v>
      </c>
      <c r="B23" s="15" t="s">
        <v>55</v>
      </c>
      <c r="C23" s="5" t="s">
        <v>64</v>
      </c>
      <c r="D23" s="7" t="s">
        <v>14</v>
      </c>
      <c r="E23" s="3" t="s">
        <v>10</v>
      </c>
      <c r="F23" s="5" t="s">
        <v>65</v>
      </c>
      <c r="G23" s="3" t="s">
        <v>12</v>
      </c>
    </row>
    <row r="24" customFormat="false" ht="28.5" hidden="false" customHeight="true" outlineLevel="0" collapsed="false">
      <c r="A24" s="3" t="n">
        <v>23</v>
      </c>
      <c r="B24" s="16" t="s">
        <v>66</v>
      </c>
      <c r="C24" s="5" t="s">
        <v>67</v>
      </c>
      <c r="D24" s="14" t="s">
        <v>52</v>
      </c>
      <c r="E24" s="3" t="s">
        <v>45</v>
      </c>
      <c r="F24" s="5"/>
      <c r="G24" s="3"/>
    </row>
    <row r="25" customFormat="false" ht="249.75" hidden="false" customHeight="true" outlineLevel="0" collapsed="false">
      <c r="A25" s="3" t="n">
        <v>24</v>
      </c>
      <c r="B25" s="4" t="s">
        <v>68</v>
      </c>
      <c r="C25" s="5" t="s">
        <v>69</v>
      </c>
      <c r="D25" s="6" t="s">
        <v>9</v>
      </c>
      <c r="E25" s="3" t="s">
        <v>10</v>
      </c>
      <c r="F25" s="5" t="s">
        <v>70</v>
      </c>
      <c r="G25" s="3" t="s">
        <v>71</v>
      </c>
    </row>
  </sheetData>
  <autoFilter ref="A1:G2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1" width="28"/>
    <col collapsed="false" customWidth="true" hidden="false" outlineLevel="0" max="2" min="2" style="1" width="14"/>
  </cols>
  <sheetData>
    <row r="1" customFormat="false" ht="16.5" hidden="false" customHeight="true" outlineLevel="0" collapsed="false">
      <c r="A1" s="17" t="s">
        <v>72</v>
      </c>
    </row>
    <row r="3" customFormat="false" ht="15" hidden="false" customHeight="true" outlineLevel="0" collapsed="false">
      <c r="A3" s="18" t="s">
        <v>4</v>
      </c>
      <c r="B3" s="18" t="s">
        <v>73</v>
      </c>
    </row>
    <row r="4" customFormat="false" ht="15" hidden="false" customHeight="true" outlineLevel="0" collapsed="false">
      <c r="A4" s="19" t="s">
        <v>45</v>
      </c>
      <c r="B4" s="19" t="n">
        <f aca="false">COUNTIF('Plan de trabajo'!E2:E25,A4)</f>
        <v>3</v>
      </c>
    </row>
    <row r="5" customFormat="false" ht="15" hidden="false" customHeight="true" outlineLevel="0" collapsed="false">
      <c r="A5" s="19" t="s">
        <v>74</v>
      </c>
      <c r="B5" s="19" t="n">
        <f aca="false">COUNTIF('Plan de trabajo'!E2:E25,A5)</f>
        <v>0</v>
      </c>
    </row>
    <row r="6" customFormat="false" ht="15" hidden="false" customHeight="true" outlineLevel="0" collapsed="false">
      <c r="A6" s="19" t="s">
        <v>10</v>
      </c>
      <c r="B6" s="19" t="n">
        <f aca="false">COUNTIF('Plan de trabajo'!E2:E25,A6)</f>
        <v>20</v>
      </c>
    </row>
    <row r="7" customFormat="false" ht="15" hidden="false" customHeight="true" outlineLevel="0" collapsed="false">
      <c r="A7" s="19" t="s">
        <v>75</v>
      </c>
      <c r="B7" s="19" t="n">
        <f aca="false">COUNTIF('Plan de trabajo'!E2:E25,A7)</f>
        <v>0</v>
      </c>
    </row>
    <row r="9" customFormat="false" ht="15" hidden="false" customHeight="true" outlineLevel="0" collapsed="false">
      <c r="A9" s="18" t="s">
        <v>76</v>
      </c>
      <c r="B9" s="18" t="n">
        <f aca="false">COUNTA('Plan de trabajo'!C2:C25)</f>
        <v>24</v>
      </c>
    </row>
    <row r="11" customFormat="false" ht="15" hidden="false" customHeight="true" outlineLevel="0" collapsed="false">
      <c r="A11" s="18" t="s">
        <v>77</v>
      </c>
      <c r="B11" s="20" t="n">
        <f aca="false">B6/B9</f>
        <v>0.833333333333333</v>
      </c>
    </row>
    <row r="13" customFormat="false" ht="15" hidden="false" customHeight="true" outlineLevel="0" collapsed="false">
      <c r="A13" s="18" t="s">
        <v>78</v>
      </c>
      <c r="B13" s="18" t="n">
        <f aca="false">COUNTIFS('Plan de trabajo'!D2:D25,"Crítica",'Plan de trabajo'!E2:E25,"Pendiente")</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2026-08-24T17:01:22Z</dcterms:created>
  <dc:creator>openpyxl</dc:creator>
  <dc:description/>
  <dc:language>en-US</dc:language>
  <cp:lastModifiedBy>PlastInnova PI</cp:lastModifiedBy>
  <dcterms:modified xsi:type="dcterms:W3CDTF">2026-08-31T12:24:37Z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