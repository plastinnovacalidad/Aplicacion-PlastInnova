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99fb1538f49df04/Escritorio/app-circuitos-smd-v2/docs/"/>
    </mc:Choice>
  </mc:AlternateContent>
  <xr:revisionPtr revIDLastSave="3" documentId="11_0FC26DA25C364E84D2DA10991A956C0A68D86C0C" xr6:coauthVersionLast="47" xr6:coauthVersionMax="47" xr10:uidLastSave="{FCF263C3-F5ED-4D69-9D76-C1151D27B611}"/>
  <bookViews>
    <workbookView xWindow="-120" yWindow="-120" windowWidth="29040" windowHeight="15720" tabRatio="500" xr2:uid="{00000000-000D-0000-FFFF-FFFF00000000}"/>
  </bookViews>
  <sheets>
    <sheet name="Plan de trabajo" sheetId="1" r:id="rId1"/>
    <sheet name="Resumen" sheetId="2" r:id="rId2"/>
  </sheets>
  <definedNames>
    <definedName name="_xlnm._FilterDatabase" localSheetId="0" hidden="1">'Plan de trabajo'!$A$1:$G$27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2" l="1"/>
  <c r="B9" i="2"/>
  <c r="B7" i="2"/>
  <c r="B6" i="2"/>
  <c r="B11" i="2" s="1"/>
  <c r="B5" i="2"/>
  <c r="B4" i="2"/>
</calcChain>
</file>

<file path=xl/sharedStrings.xml><?xml version="1.0" encoding="utf-8"?>
<sst xmlns="http://schemas.openxmlformats.org/spreadsheetml/2006/main" count="161" uniqueCount="74">
  <si>
    <t>#</t>
  </si>
  <si>
    <t>Categoría</t>
  </si>
  <si>
    <t>Tarea</t>
  </si>
  <si>
    <t>Prioridad</t>
  </si>
  <si>
    <t>Estado</t>
  </si>
  <si>
    <t>Notas</t>
  </si>
  <si>
    <t>Última actualización</t>
  </si>
  <si>
    <t>Seguridad</t>
  </si>
  <si>
    <t>Quitar el auto-login con credenciales fijas (admin/admin123) en gestion.html</t>
  </si>
  <si>
    <t>Crítica</t>
  </si>
  <si>
    <t>Hecho</t>
  </si>
  <si>
    <t>Guardar las contraseñas de usuarios con hash (bcrypt) en vez de texto plano</t>
  </si>
  <si>
    <t>las contraseñas se cifran y nadie puede saber que contraseña tiene</t>
  </si>
  <si>
    <t>Generar tokens de sesión seguros y con expiración (reemplazar Math.random())</t>
  </si>
  <si>
    <t xml:space="preserve">Se demora 1hora para sacar a la gente de la sesion </t>
  </si>
  <si>
    <t>Sacar el token de la URL en /ver-plano y /ver-evidencia; usarlo por header o cookie</t>
  </si>
  <si>
    <t>Alta</t>
  </si>
  <si>
    <t>Mover números de WhatsApp y datos sensibles de config_whatsapp.js a variables de entorno</t>
  </si>
  <si>
    <t>Validar el contenido real del archivo subido, no solo el mimetype que envía el navegador</t>
  </si>
  <si>
    <t>Media</t>
  </si>
  <si>
    <t>Ahora se valida el contenido real (firma del archivo) antes de guardarlo, no solo el nombre/extensión.</t>
  </si>
  <si>
    <t>2026-08-14</t>
  </si>
  <si>
    <t>Agregar protecciones básicas: CORS, helmet y límite de intentos de login</t>
  </si>
  <si>
    <t>Se agregaron helmet, cors (bloqueado a cualquier origen externo) y límite de 15 intentos de login cada 15 minutos.</t>
  </si>
  <si>
    <t>Base de datos</t>
  </si>
  <si>
    <t>Crear en el script de inicialización las tablas faltantes: garantias, clientes, referencias_pt</t>
  </si>
  <si>
    <t>Formalizar el sistema de migraciones (o documentar cada ALTER TABLE aplicado)</t>
  </si>
  <si>
    <t>Se documentó cada ALTER TABLE existente con un comentario 'MIGRACIÓN #N' y un resumen al inicio del archivo.</t>
  </si>
  <si>
    <t>Envolver las operaciones que tocan varias tablas en transacciones (BEGIN/COMMIT)</t>
  </si>
  <si>
    <t>Las operaciones que tocan varias tablas (crear referencia+versión, garantías, roles) ahora están en una sola transacción.</t>
  </si>
  <si>
    <t>Organización backend</t>
  </si>
  <si>
    <t>Dividir app_circuitos.js en módulos con express.Router() por área (referencias, garantías, metrología, usuarios, whatsapp)</t>
  </si>
  <si>
    <t>Separar el acceso a datos (consultas SQL) de la lógica de las rutas</t>
  </si>
  <si>
    <t>Unificar la lógica duplicada de "nueva versión de referencia" (módulo SMD y módulo Metrología)</t>
  </si>
  <si>
    <t>La lógica para calcular la siguiente versión se unificó en utils/versiones.js, usada por SMD y Metrología.</t>
  </si>
  <si>
    <t>Mover rutas de carpetas y configuración fija (rutas de Windows) a variables de entorno</t>
  </si>
  <si>
    <t>Corregir la diferencia de mayúscula/minúscula entre 'public' (código) y la carpeta Public</t>
  </si>
  <si>
    <t>El código ahora sirve la carpeta 'Public' (con mayúscula), igual que en el disco.</t>
  </si>
  <si>
    <t>Agregar manejo de errores centralizado (middleware) en vez de repetir try/catch en cada ruta</t>
  </si>
  <si>
    <t>Se agregó un manejo de errores centralizado; ya no se repite el mismo try/catch en cada ruta.</t>
  </si>
  <si>
    <t>Confirmar si puppeteer y xlsx se usan realmente; quitarlos de package.json si no</t>
  </si>
  <si>
    <t>Baja</t>
  </si>
  <si>
    <t>Se confirmó que ni xlsx ni puppeteer se usaban directamente en el código (whatsapp-web.js ya trae su propio puppeteer); se quitaron ambos de package.json.</t>
  </si>
  <si>
    <t>Frontend</t>
  </si>
  <si>
    <t>Extraer a un archivo compartido el CSS repetido (header, sidebar, login) entre las 8 páginas</t>
  </si>
  <si>
    <t>El CSS repetido (header, login, pestañas) quedó en Public/css/comun.css.</t>
  </si>
  <si>
    <t>Extraer a archivos compartidos el JS repetido (login, permisos, formato de fechas)</t>
  </si>
  <si>
    <t>El JS repetido (login, permisos) quedó en Public/js/comun.js.</t>
  </si>
  <si>
    <t>Aplicar escapeHtml de forma consistente en todas las páginas (especialmente garantias.html)</t>
  </si>
  <si>
    <t>Revisar permisos inconsistentes (ej. metrologia.gestion no está definido en la lista de permisos)</t>
  </si>
  <si>
    <t>Se encontraron 3 códigos de permiso obsoletos ('metrologia.crear', 'metrologia.editar', 'metrologia.medir') que ya no usaba ningún código, y 'metrologia.gestion' que se usaba en el frontend sin estar en el catálogo. Se agregó 'metrologia.gestion' al catálogo, se corrigieron las 2 rutas que usaban los códigos viejos, y se limpiaron los obsoletos con una migración.</t>
  </si>
  <si>
    <t>WhatsApp y archivos</t>
  </si>
  <si>
    <t>Agregar limpieza periódica de archivos viejos en uploads/obsoletas</t>
  </si>
  <si>
    <t>Se agregó una limpieza automática que borra archivos de uploads/obsoletas con más de 90 días (configurable), al arrancar el servidor y luego cada 24 horas.</t>
  </si>
  <si>
    <t>Revisar y reforzar el manejo de reconexión del bot de WhatsApp</t>
  </si>
  <si>
    <t>Se corrigió un error real: si fallaba la reconexión, podía tumbar todo el servidor. Ahora reintenta solo, sin ese riesgo.</t>
  </si>
  <si>
    <t>Quitar o reducir los console.log de depuración antes de producción</t>
  </si>
  <si>
    <t>Se quitaron o redujeron los console.log que eran de depuración (uno marcado explícitamente 'DEBUG' en el código, y los que repetían 'columna ya existe' en cada arranque del servidor).</t>
  </si>
  <si>
    <t>Documentación y pruebas</t>
  </si>
  <si>
    <t>Escribir un README con instalación, variables de entorno y cómo correr la app</t>
  </si>
  <si>
    <t>Se agregó README.md con instalación, variables de entorno y cómo correr la app.</t>
  </si>
  <si>
    <t>Definir un checklist manual de pruebas antes de cada despliegue</t>
  </si>
  <si>
    <t>Se agregó docs/CHECKLIST_DESPLIEGUE.md con una lista de verificación manual para revisar antes de cada despliegue.</t>
  </si>
  <si>
    <t>Gestión de permisos</t>
  </si>
  <si>
    <t>¿Cuáles son los permisos principales para poder utilizar el módulo de metrología normalmente?</t>
  </si>
  <si>
    <t>Para uso normal del módulo de Metrología, el permiso base es 'metrologia.ver' (sin él no se puede ni abrir el módulo). A partir de ahí, cada acción tiene su propio permiso: 'metrologia.inspeccionar' (registrar medidas), 'metrologia.versiones' (subir nuevas versiones de plano), 'metrologia.crear_referencia' (crear referencias de moldes), 'metrologia.editar_cotas' y 'metrologia.eliminar_cotas' (cotas y tolerancias), 'metrologia.historial' y 'metrologia.auditoria' (ver historial y registro de cambios). Existe además 'metrologia.gestion', que es un permiso 'maestro': quien lo tenga puede hacer cualquier cosa en el módulo sin necesitar los demás permisos específicos uno por uno (así están configurados hoy admin e inspector). Se pueden ver y cambiar estos permisos por rol en Gestión &gt; Roles.</t>
  </si>
  <si>
    <t>Resumen de avance</t>
  </si>
  <si>
    <t>Cantidad</t>
  </si>
  <si>
    <t>Pendiente</t>
  </si>
  <si>
    <t>En progreso</t>
  </si>
  <si>
    <t>No aplica</t>
  </si>
  <si>
    <t>Total de tareas</t>
  </si>
  <si>
    <t>% completado</t>
  </si>
  <si>
    <t>Tareas críticas 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</si>
</sst>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1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2E1"/>
        <bgColor rgb="FFFDEBD0"/>
      </patternFill>
    </fill>
    <fill>
      <patternFill patternType="solid">
        <fgColor rgb="FFC0392B"/>
        <bgColor rgb="FF993366"/>
      </patternFill>
    </fill>
    <fill>
      <patternFill patternType="solid">
        <fgColor rgb="FFE67E22"/>
        <bgColor rgb="FFFF9900"/>
      </patternFill>
    </fill>
    <fill>
      <patternFill patternType="solid">
        <fgColor rgb="FFF1C40F"/>
        <bgColor rgb="FFFF9900"/>
      </patternFill>
    </fill>
    <fill>
      <patternFill patternType="solid">
        <fgColor rgb="FFFDEBD0"/>
        <bgColor rgb="FFFCF3CF"/>
      </patternFill>
    </fill>
    <fill>
      <patternFill patternType="solid">
        <fgColor rgb="FFFCF3CF"/>
        <bgColor rgb="FFFDEBD0"/>
      </patternFill>
    </fill>
    <fill>
      <patternFill patternType="solid">
        <fgColor rgb="FF7F8C8D"/>
        <bgColor rgb="FF969696"/>
      </patternFill>
    </fill>
    <fill>
      <patternFill patternType="solid">
        <fgColor rgb="FFD6EAF8"/>
        <bgColor rgb="FFD5F5E3"/>
      </patternFill>
    </fill>
    <fill>
      <patternFill patternType="solid">
        <fgColor rgb="FFE8DAEF"/>
        <bgColor rgb="FFEAE0F8"/>
      </patternFill>
    </fill>
    <fill>
      <patternFill patternType="solid">
        <fgColor rgb="FFD5F5E3"/>
        <bgColor rgb="FFD6EAF8"/>
      </patternFill>
    </fill>
    <fill>
      <patternFill patternType="solid">
        <fgColor rgb="FFEAE0F8"/>
        <bgColor rgb="FFE8DAE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8" borderId="1" xfId="0" applyFont="1" applyFill="1" applyBorder="1"/>
    <xf numFmtId="0" fontId="1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3" borderId="1" xfId="0" applyFont="1" applyFill="1" applyBorder="1"/>
    <xf numFmtId="0" fontId="2" fillId="0" borderId="0" xfId="0" applyFont="1" applyAlignment="1">
      <alignment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0" applyNumberFormat="1" applyFont="1"/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3">
    <dxf>
      <fill>
        <patternFill>
          <bgColor rgb="FFEAECEE"/>
        </patternFill>
      </fill>
    </dxf>
    <dxf>
      <fill>
        <patternFill>
          <bgColor rgb="FFFCF3CF"/>
        </patternFill>
      </fill>
    </dxf>
    <dxf>
      <fill>
        <patternFill>
          <bgColor rgb="FFD5F5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DAEF"/>
      <rgbColor rgb="FF7F8C8D"/>
      <rgbColor rgb="FF9999FF"/>
      <rgbColor rgb="FF993366"/>
      <rgbColor rgb="FFFCF3CF"/>
      <rgbColor rgb="FFD6EAF8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D5F5E3"/>
      <rgbColor rgb="FFFDEBD0"/>
      <rgbColor rgb="FFEAE0F8"/>
      <rgbColor rgb="FFFF99CC"/>
      <rgbColor rgb="FFCC99FF"/>
      <rgbColor rgb="FFFDE2E1"/>
      <rgbColor rgb="FF3366FF"/>
      <rgbColor rgb="FF33CCCC"/>
      <rgbColor rgb="FF99CC00"/>
      <rgbColor rgb="FFF1C40F"/>
      <rgbColor rgb="FFFF9900"/>
      <rgbColor rgb="FFE67E22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="115" zoomScaleNormal="115" workbookViewId="0">
      <pane ySplit="1" topLeftCell="A23" activePane="bottomLeft" state="frozen"/>
      <selection pane="bottomLeft" activeCell="F28" sqref="F28"/>
    </sheetView>
  </sheetViews>
  <sheetFormatPr baseColWidth="10" defaultColWidth="8.7109375" defaultRowHeight="15" x14ac:dyDescent="0.25"/>
  <cols>
    <col min="1" max="1" width="5" customWidth="1"/>
    <col min="2" max="2" width="20" customWidth="1"/>
    <col min="3" max="3" width="62" customWidth="1"/>
    <col min="4" max="4" width="12" customWidth="1"/>
    <col min="5" max="5" width="14" customWidth="1"/>
    <col min="6" max="6" width="102.140625" style="1" customWidth="1"/>
    <col min="7" max="7" width="16" customWidth="1"/>
  </cols>
  <sheetData>
    <row r="1" spans="1:7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3.75" customHeight="1" x14ac:dyDescent="0.25">
      <c r="A2" s="3">
        <v>1</v>
      </c>
      <c r="B2" s="4" t="s">
        <v>7</v>
      </c>
      <c r="C2" s="5" t="s">
        <v>8</v>
      </c>
      <c r="D2" s="6" t="s">
        <v>9</v>
      </c>
      <c r="E2" s="3" t="s">
        <v>10</v>
      </c>
      <c r="F2" s="7"/>
      <c r="G2" s="8"/>
    </row>
    <row r="3" spans="1:7" ht="33.75" customHeight="1" x14ac:dyDescent="0.25">
      <c r="A3" s="3">
        <v>2</v>
      </c>
      <c r="B3" s="4" t="s">
        <v>7</v>
      </c>
      <c r="C3" s="5" t="s">
        <v>11</v>
      </c>
      <c r="D3" s="6" t="s">
        <v>9</v>
      </c>
      <c r="E3" s="3" t="s">
        <v>10</v>
      </c>
      <c r="F3" s="7" t="s">
        <v>12</v>
      </c>
      <c r="G3" s="8"/>
    </row>
    <row r="4" spans="1:7" ht="33.75" customHeight="1" x14ac:dyDescent="0.25">
      <c r="A4" s="3">
        <v>3</v>
      </c>
      <c r="B4" s="4" t="s">
        <v>7</v>
      </c>
      <c r="C4" s="5" t="s">
        <v>13</v>
      </c>
      <c r="D4" s="6" t="s">
        <v>9</v>
      </c>
      <c r="E4" s="3" t="s">
        <v>10</v>
      </c>
      <c r="F4" s="7" t="s">
        <v>14</v>
      </c>
      <c r="G4" s="8"/>
    </row>
    <row r="5" spans="1:7" ht="33.75" customHeight="1" x14ac:dyDescent="0.25">
      <c r="A5" s="3">
        <v>4</v>
      </c>
      <c r="B5" s="4" t="s">
        <v>7</v>
      </c>
      <c r="C5" s="5" t="s">
        <v>15</v>
      </c>
      <c r="D5" s="9" t="s">
        <v>16</v>
      </c>
      <c r="E5" s="3" t="s">
        <v>10</v>
      </c>
      <c r="F5" s="7"/>
      <c r="G5" s="8"/>
    </row>
    <row r="6" spans="1:7" ht="33.75" customHeight="1" x14ac:dyDescent="0.25">
      <c r="A6" s="3">
        <v>5</v>
      </c>
      <c r="B6" s="4" t="s">
        <v>7</v>
      </c>
      <c r="C6" s="5" t="s">
        <v>17</v>
      </c>
      <c r="D6" s="9" t="s">
        <v>16</v>
      </c>
      <c r="E6" s="3" t="s">
        <v>10</v>
      </c>
      <c r="F6" s="7"/>
      <c r="G6" s="8"/>
    </row>
    <row r="7" spans="1:7" ht="33.75" customHeight="1" x14ac:dyDescent="0.25">
      <c r="A7" s="3">
        <v>6</v>
      </c>
      <c r="B7" s="4" t="s">
        <v>7</v>
      </c>
      <c r="C7" s="5" t="s">
        <v>18</v>
      </c>
      <c r="D7" s="10" t="s">
        <v>19</v>
      </c>
      <c r="E7" s="3" t="s">
        <v>10</v>
      </c>
      <c r="F7" s="7" t="s">
        <v>20</v>
      </c>
      <c r="G7" s="8" t="s">
        <v>21</v>
      </c>
    </row>
    <row r="8" spans="1:7" ht="33.75" customHeight="1" x14ac:dyDescent="0.25">
      <c r="A8" s="3">
        <v>7</v>
      </c>
      <c r="B8" s="4" t="s">
        <v>7</v>
      </c>
      <c r="C8" s="5" t="s">
        <v>22</v>
      </c>
      <c r="D8" s="10" t="s">
        <v>19</v>
      </c>
      <c r="E8" s="3" t="s">
        <v>10</v>
      </c>
      <c r="F8" s="7" t="s">
        <v>23</v>
      </c>
      <c r="G8" s="8" t="s">
        <v>21</v>
      </c>
    </row>
    <row r="9" spans="1:7" ht="33.75" customHeight="1" x14ac:dyDescent="0.25">
      <c r="A9" s="3">
        <v>8</v>
      </c>
      <c r="B9" s="11" t="s">
        <v>24</v>
      </c>
      <c r="C9" s="5" t="s">
        <v>25</v>
      </c>
      <c r="D9" s="6" t="s">
        <v>9</v>
      </c>
      <c r="E9" s="3" t="s">
        <v>10</v>
      </c>
      <c r="F9" s="7"/>
      <c r="G9" s="8"/>
    </row>
    <row r="10" spans="1:7" ht="33.75" customHeight="1" x14ac:dyDescent="0.25">
      <c r="A10" s="3">
        <v>9</v>
      </c>
      <c r="B10" s="11" t="s">
        <v>24</v>
      </c>
      <c r="C10" s="5" t="s">
        <v>26</v>
      </c>
      <c r="D10" s="10" t="s">
        <v>19</v>
      </c>
      <c r="E10" s="3" t="s">
        <v>10</v>
      </c>
      <c r="F10" s="7" t="s">
        <v>27</v>
      </c>
      <c r="G10" s="8" t="s">
        <v>21</v>
      </c>
    </row>
    <row r="11" spans="1:7" ht="33.75" customHeight="1" x14ac:dyDescent="0.25">
      <c r="A11" s="3">
        <v>10</v>
      </c>
      <c r="B11" s="11" t="s">
        <v>24</v>
      </c>
      <c r="C11" s="5" t="s">
        <v>28</v>
      </c>
      <c r="D11" s="10" t="s">
        <v>19</v>
      </c>
      <c r="E11" s="3" t="s">
        <v>10</v>
      </c>
      <c r="F11" s="7" t="s">
        <v>29</v>
      </c>
      <c r="G11" s="8" t="s">
        <v>21</v>
      </c>
    </row>
    <row r="12" spans="1:7" ht="33.75" customHeight="1" x14ac:dyDescent="0.25">
      <c r="A12" s="3">
        <v>11</v>
      </c>
      <c r="B12" s="12" t="s">
        <v>30</v>
      </c>
      <c r="C12" s="5" t="s">
        <v>31</v>
      </c>
      <c r="D12" s="9" t="s">
        <v>16</v>
      </c>
      <c r="E12" s="3" t="s">
        <v>10</v>
      </c>
      <c r="F12" s="7"/>
      <c r="G12" s="8"/>
    </row>
    <row r="13" spans="1:7" ht="33.75" customHeight="1" x14ac:dyDescent="0.25">
      <c r="A13" s="3">
        <v>12</v>
      </c>
      <c r="B13" s="12" t="s">
        <v>30</v>
      </c>
      <c r="C13" s="5" t="s">
        <v>32</v>
      </c>
      <c r="D13" s="9" t="s">
        <v>16</v>
      </c>
      <c r="E13" s="3" t="s">
        <v>10</v>
      </c>
      <c r="F13" s="7"/>
      <c r="G13" s="8"/>
    </row>
    <row r="14" spans="1:7" ht="33.75" customHeight="1" x14ac:dyDescent="0.25">
      <c r="A14" s="3">
        <v>13</v>
      </c>
      <c r="B14" s="12" t="s">
        <v>30</v>
      </c>
      <c r="C14" s="5" t="s">
        <v>33</v>
      </c>
      <c r="D14" s="10" t="s">
        <v>19</v>
      </c>
      <c r="E14" s="3" t="s">
        <v>10</v>
      </c>
      <c r="F14" s="7" t="s">
        <v>34</v>
      </c>
      <c r="G14" s="8" t="s">
        <v>21</v>
      </c>
    </row>
    <row r="15" spans="1:7" ht="33.75" customHeight="1" x14ac:dyDescent="0.25">
      <c r="A15" s="3">
        <v>14</v>
      </c>
      <c r="B15" s="12" t="s">
        <v>30</v>
      </c>
      <c r="C15" s="5" t="s">
        <v>35</v>
      </c>
      <c r="D15" s="9" t="s">
        <v>16</v>
      </c>
      <c r="E15" s="3" t="s">
        <v>10</v>
      </c>
      <c r="F15" s="7"/>
      <c r="G15" s="8"/>
    </row>
    <row r="16" spans="1:7" ht="33.75" customHeight="1" x14ac:dyDescent="0.25">
      <c r="A16" s="3">
        <v>15</v>
      </c>
      <c r="B16" s="12" t="s">
        <v>30</v>
      </c>
      <c r="C16" s="5" t="s">
        <v>36</v>
      </c>
      <c r="D16" s="10" t="s">
        <v>19</v>
      </c>
      <c r="E16" s="3" t="s">
        <v>10</v>
      </c>
      <c r="F16" s="7" t="s">
        <v>37</v>
      </c>
      <c r="G16" s="8" t="s">
        <v>21</v>
      </c>
    </row>
    <row r="17" spans="1:7" ht="33.75" customHeight="1" x14ac:dyDescent="0.25">
      <c r="A17" s="3">
        <v>16</v>
      </c>
      <c r="B17" s="12" t="s">
        <v>30</v>
      </c>
      <c r="C17" s="5" t="s">
        <v>38</v>
      </c>
      <c r="D17" s="10" t="s">
        <v>19</v>
      </c>
      <c r="E17" s="3" t="s">
        <v>10</v>
      </c>
      <c r="F17" s="7" t="s">
        <v>39</v>
      </c>
      <c r="G17" s="8" t="s">
        <v>21</v>
      </c>
    </row>
    <row r="18" spans="1:7" ht="33.75" customHeight="1" x14ac:dyDescent="0.25">
      <c r="A18" s="3">
        <v>17</v>
      </c>
      <c r="B18" s="12" t="s">
        <v>30</v>
      </c>
      <c r="C18" s="5" t="s">
        <v>40</v>
      </c>
      <c r="D18" s="13" t="s">
        <v>41</v>
      </c>
      <c r="E18" s="3" t="s">
        <v>10</v>
      </c>
      <c r="F18" s="23" t="s">
        <v>42</v>
      </c>
      <c r="G18" s="3" t="s">
        <v>21</v>
      </c>
    </row>
    <row r="19" spans="1:7" ht="33.75" customHeight="1" x14ac:dyDescent="0.25">
      <c r="A19" s="3">
        <v>18</v>
      </c>
      <c r="B19" s="14" t="s">
        <v>43</v>
      </c>
      <c r="C19" s="5" t="s">
        <v>44</v>
      </c>
      <c r="D19" s="10" t="s">
        <v>19</v>
      </c>
      <c r="E19" s="3" t="s">
        <v>10</v>
      </c>
      <c r="F19" s="7" t="s">
        <v>45</v>
      </c>
      <c r="G19" s="8" t="s">
        <v>21</v>
      </c>
    </row>
    <row r="20" spans="1:7" ht="33.75" customHeight="1" x14ac:dyDescent="0.25">
      <c r="A20" s="3">
        <v>19</v>
      </c>
      <c r="B20" s="14" t="s">
        <v>43</v>
      </c>
      <c r="C20" s="5" t="s">
        <v>46</v>
      </c>
      <c r="D20" s="10" t="s">
        <v>19</v>
      </c>
      <c r="E20" s="3" t="s">
        <v>10</v>
      </c>
      <c r="F20" s="7" t="s">
        <v>47</v>
      </c>
      <c r="G20" s="8" t="s">
        <v>21</v>
      </c>
    </row>
    <row r="21" spans="1:7" ht="33.75" customHeight="1" x14ac:dyDescent="0.25">
      <c r="A21" s="3">
        <v>20</v>
      </c>
      <c r="B21" s="14" t="s">
        <v>43</v>
      </c>
      <c r="C21" s="5" t="s">
        <v>48</v>
      </c>
      <c r="D21" s="9" t="s">
        <v>16</v>
      </c>
      <c r="E21" s="3" t="s">
        <v>10</v>
      </c>
      <c r="F21" s="7"/>
      <c r="G21" s="8"/>
    </row>
    <row r="22" spans="1:7" ht="33.75" customHeight="1" x14ac:dyDescent="0.25">
      <c r="A22" s="3">
        <v>21</v>
      </c>
      <c r="B22" s="14" t="s">
        <v>43</v>
      </c>
      <c r="C22" s="5" t="s">
        <v>49</v>
      </c>
      <c r="D22" s="13" t="s">
        <v>41</v>
      </c>
      <c r="E22" s="3" t="s">
        <v>10</v>
      </c>
      <c r="F22" s="23" t="s">
        <v>50</v>
      </c>
      <c r="G22" s="3" t="s">
        <v>21</v>
      </c>
    </row>
    <row r="23" spans="1:7" ht="33.75" customHeight="1" x14ac:dyDescent="0.25">
      <c r="A23" s="3">
        <v>22</v>
      </c>
      <c r="B23" s="15" t="s">
        <v>51</v>
      </c>
      <c r="C23" s="5" t="s">
        <v>52</v>
      </c>
      <c r="D23" s="13" t="s">
        <v>41</v>
      </c>
      <c r="E23" s="3" t="s">
        <v>10</v>
      </c>
      <c r="F23" s="23" t="s">
        <v>53</v>
      </c>
      <c r="G23" s="3" t="s">
        <v>21</v>
      </c>
    </row>
    <row r="24" spans="1:7" ht="33.75" customHeight="1" x14ac:dyDescent="0.25">
      <c r="A24" s="3">
        <v>23</v>
      </c>
      <c r="B24" s="15" t="s">
        <v>51</v>
      </c>
      <c r="C24" s="5" t="s">
        <v>54</v>
      </c>
      <c r="D24" s="10" t="s">
        <v>19</v>
      </c>
      <c r="E24" s="3" t="s">
        <v>10</v>
      </c>
      <c r="F24" s="7" t="s">
        <v>55</v>
      </c>
      <c r="G24" s="8" t="s">
        <v>21</v>
      </c>
    </row>
    <row r="25" spans="1:7" ht="33.75" customHeight="1" x14ac:dyDescent="0.25">
      <c r="A25" s="3">
        <v>24</v>
      </c>
      <c r="B25" s="15" t="s">
        <v>51</v>
      </c>
      <c r="C25" s="5" t="s">
        <v>56</v>
      </c>
      <c r="D25" s="13" t="s">
        <v>41</v>
      </c>
      <c r="E25" s="3" t="s">
        <v>10</v>
      </c>
      <c r="F25" s="23" t="s">
        <v>57</v>
      </c>
      <c r="G25" s="3" t="s">
        <v>21</v>
      </c>
    </row>
    <row r="26" spans="1:7" ht="33.75" customHeight="1" x14ac:dyDescent="0.25">
      <c r="A26" s="3">
        <v>25</v>
      </c>
      <c r="B26" s="16" t="s">
        <v>58</v>
      </c>
      <c r="C26" s="5" t="s">
        <v>59</v>
      </c>
      <c r="D26" s="10" t="s">
        <v>19</v>
      </c>
      <c r="E26" s="3" t="s">
        <v>10</v>
      </c>
      <c r="F26" s="7" t="s">
        <v>60</v>
      </c>
      <c r="G26" s="8" t="s">
        <v>21</v>
      </c>
    </row>
    <row r="27" spans="1:7" ht="33.75" customHeight="1" x14ac:dyDescent="0.25">
      <c r="A27" s="3">
        <v>26</v>
      </c>
      <c r="B27" s="16" t="s">
        <v>58</v>
      </c>
      <c r="C27" s="5" t="s">
        <v>61</v>
      </c>
      <c r="D27" s="13" t="s">
        <v>41</v>
      </c>
      <c r="E27" s="3" t="s">
        <v>10</v>
      </c>
      <c r="F27" s="23" t="s">
        <v>62</v>
      </c>
      <c r="G27" s="3" t="s">
        <v>21</v>
      </c>
    </row>
    <row r="28" spans="1:7" ht="90" x14ac:dyDescent="0.25">
      <c r="A28" s="3">
        <v>27</v>
      </c>
      <c r="B28" s="17" t="s">
        <v>63</v>
      </c>
      <c r="C28" s="5" t="s">
        <v>64</v>
      </c>
      <c r="D28" s="13" t="s">
        <v>41</v>
      </c>
      <c r="E28" s="3" t="s">
        <v>10</v>
      </c>
      <c r="F28" s="23" t="s">
        <v>65</v>
      </c>
      <c r="G28" s="3" t="s">
        <v>21</v>
      </c>
    </row>
    <row r="29" spans="1:7" ht="25.5" customHeight="1" x14ac:dyDescent="0.25">
      <c r="C29" s="18"/>
    </row>
  </sheetData>
  <autoFilter ref="A1:G27" xr:uid="{00000000-0009-0000-0000-000000000000}"/>
  <conditionalFormatting sqref="E2:E28">
    <cfRule type="cellIs" dxfId="2" priority="2" operator="equal">
      <formula>"Hecho"</formula>
    </cfRule>
    <cfRule type="cellIs" dxfId="1" priority="3" operator="equal">
      <formula>"En progreso"</formula>
    </cfRule>
    <cfRule type="cellIs" dxfId="0" priority="4" operator="equal">
      <formula>"No aplica"</formula>
    </cfRule>
  </conditionalFormatting>
  <dataValidations count="2">
    <dataValidation type="list" allowBlank="1" sqref="E2:E28" xr:uid="{00000000-0002-0000-0000-000000000000}">
      <formula1>"Pendiente,En progreso,Hecho,No aplica"</formula1>
      <formula2>0</formula2>
    </dataValidation>
    <dataValidation type="list" allowBlank="1" sqref="D2:D28" xr:uid="{00000000-0002-0000-0000-000001000000}">
      <formula1>"Crítica,Alta,Media,Baja"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zoomScaleNormal="100" workbookViewId="0">
      <selection activeCell="D24" sqref="D24"/>
    </sheetView>
  </sheetViews>
  <sheetFormatPr baseColWidth="10" defaultColWidth="8.7109375" defaultRowHeight="15" x14ac:dyDescent="0.25"/>
  <cols>
    <col min="1" max="1" width="28" customWidth="1"/>
    <col min="2" max="2" width="14" customWidth="1"/>
  </cols>
  <sheetData>
    <row r="1" spans="1:2" ht="18" customHeight="1" x14ac:dyDescent="0.25">
      <c r="A1" s="19" t="s">
        <v>66</v>
      </c>
    </row>
    <row r="3" spans="1:2" ht="15" customHeight="1" x14ac:dyDescent="0.25">
      <c r="A3" s="20" t="s">
        <v>4</v>
      </c>
      <c r="B3" s="20" t="s">
        <v>67</v>
      </c>
    </row>
    <row r="4" spans="1:2" ht="15" customHeight="1" x14ac:dyDescent="0.25">
      <c r="A4" s="21" t="s">
        <v>68</v>
      </c>
      <c r="B4" s="21">
        <f>COUNTIF('Plan de trabajo'!E2:E28,A4)</f>
        <v>0</v>
      </c>
    </row>
    <row r="5" spans="1:2" ht="15" customHeight="1" x14ac:dyDescent="0.25">
      <c r="A5" s="21" t="s">
        <v>69</v>
      </c>
      <c r="B5" s="21">
        <f>COUNTIF('Plan de trabajo'!E2:E28,A5)</f>
        <v>0</v>
      </c>
    </row>
    <row r="6" spans="1:2" ht="15" customHeight="1" x14ac:dyDescent="0.25">
      <c r="A6" s="21" t="s">
        <v>10</v>
      </c>
      <c r="B6" s="21">
        <f>COUNTIF('Plan de trabajo'!E2:E28,A6)</f>
        <v>27</v>
      </c>
    </row>
    <row r="7" spans="1:2" ht="15" customHeight="1" x14ac:dyDescent="0.25">
      <c r="A7" s="21" t="s">
        <v>70</v>
      </c>
      <c r="B7" s="21">
        <f>COUNTIF('Plan de trabajo'!E2:E28,A7)</f>
        <v>0</v>
      </c>
    </row>
    <row r="9" spans="1:2" ht="15" customHeight="1" x14ac:dyDescent="0.25">
      <c r="A9" s="20" t="s">
        <v>71</v>
      </c>
      <c r="B9" s="20">
        <f>COUNTA('Plan de trabajo'!C2:C28)</f>
        <v>27</v>
      </c>
    </row>
    <row r="11" spans="1:2" ht="15" customHeight="1" x14ac:dyDescent="0.25">
      <c r="A11" s="20" t="s">
        <v>72</v>
      </c>
      <c r="B11" s="22">
        <f>B6/B9</f>
        <v>1</v>
      </c>
    </row>
    <row r="13" spans="1:2" ht="15" customHeight="1" x14ac:dyDescent="0.25">
      <c r="A13" s="20" t="s">
        <v>73</v>
      </c>
      <c r="B13" s="20">
        <f>COUNTIFS('Plan de trabajo'!D2:D28,"Crítica",'Plan de trabajo'!E2:E28,"Pendiente")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de trabajo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PlastInnova PI</cp:lastModifiedBy>
  <cp:revision>0</cp:revision>
  <dcterms:created xsi:type="dcterms:W3CDTF">2026-08-12T19:46:46Z</dcterms:created>
  <dcterms:modified xsi:type="dcterms:W3CDTF">2026-08-14T12:30:19Z</dcterms:modified>
  <dc:language>en-US</dc:language>
</cp:coreProperties>
</file>