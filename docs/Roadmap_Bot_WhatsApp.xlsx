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de trabajo" sheetId="1" state="visible" r:id="rId3"/>
    <sheet name="Resumen" sheetId="2" state="visible" r:id="rId4"/>
  </sheets>
  <definedNames>
    <definedName function="false" hidden="true" localSheetId="0" name="_xlnm._FilterDatabase" vbProcedure="false">'Plan de trabajo'!$A$1:$G$24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<sst xmlns="http://schemas.openxmlformats.org/spreadsheetml/2006/main" count="127" uniqueCount="63">
  <si>
    <t xml:space="preserve">#</t>
  </si>
  <si>
    <t xml:space="preserve">Categoría</t>
  </si>
  <si>
    <t xml:space="preserve">Tarea</t>
  </si>
  <si>
    <t xml:space="preserve">Prioridad</t>
  </si>
  <si>
    <t xml:space="preserve">Estado</t>
  </si>
  <si>
    <t xml:space="preserve">Notas</t>
  </si>
  <si>
    <t xml:space="preserve">Última actualización</t>
  </si>
  <si>
    <t xml:space="preserve">Diseño de la consulta</t>
  </si>
  <si>
    <t xml:space="preserve">Definir los tipos de pregunta que el bot va a soportar al inicio (últimos/top N registros de una referencia; porcentaje por causal de una referencia)</t>
  </si>
  <si>
    <t xml:space="preserve">Alta</t>
  </si>
  <si>
    <t xml:space="preserve">Hecho</t>
  </si>
  <si>
    <t xml:space="preserve">Definición cerrada — dos tipos de pregunta soportados al inicio, ambos sobre Garantías, siempre pidiendo una referencia: (A) Últimos/top N registros de una referencia: dispara con frases como "últimos 5 de &lt;referencia&gt;", "top 10 registros de &lt;referencia&gt;", "muéstrame las garantías de &lt;referencia&gt;"; responde con las columnas por defecto del punto 15 (Fecha Reporte, Referencia, Cantidad, Causal/Problema, Estado, Aprobó/Rechazó), ordenadas de más reciente a más antigua, limitadas al N pedido (si no dan N, se usa 10 por defecto). (B) Porcentaje por causal de una referencia: dispara con frases como "porcentaje de causales de &lt;referencia&gt;", "por qué se dañan las &lt;referencia&gt;", "causales de &lt;referencia&gt;"; responde el listado de causales de esa referencia con su % sobre el total, de mayor a menor. Esta definición queda como base para implementar la interpretación de la pregunta (puntos 8-11) — cualquier frase que no encaje en (A) o (B) cae en el punto 2 (mensaje de no entendido).</t>
  </si>
  <si>
    <t xml:space="preserve">2026-08-27</t>
  </si>
  <si>
    <t xml:space="preserve">Definir qué responde el bot cuando la pregunta no encaja en ninguno de los formatos soportados</t>
  </si>
  <si>
    <t xml:space="preserve">Media</t>
  </si>
  <si>
    <t xml:space="preserve">Definido: si la pregunta no encaja en ninguno de los dos formatos del punto 1, el bot responde explicando que no entendió, lista los dos formatos soportados con un ejemplo de cada uno, y recuerda que puede escribir "salir" para cerrar el modo consulta. Esto NO cuenta como intento fallido que cierre la sesión — el bot se queda esperando otra pregunta, y el reloj de inactividad del punto 4 sigue corriendo normal. Mensaje propuesto: "No entendí esa pregunta. Puedo ayudarte con:
• Últimos o top N registros de una referencia (ej. últimos 5 de SUP/1077/RS/MUL)
• Porcentaje por causal de una referencia (ej. causales de SUP/1077/RS/MUL)
Escribe salir si quieres cerrar el modo consulta." — pendiente de confirmación final de Julio antes de implementarlo junto con los puntos 8-11.</t>
  </si>
  <si>
    <t xml:space="preserve">Activación y sesión (modo consulta)</t>
  </si>
  <si>
    <t xml:space="preserve">Palabra de activación exacta "consulta" al inicio del mensaje (sin variantes)</t>
  </si>
  <si>
    <t xml:space="preserve">Ya definido en la planeación. Implementado: si el mensaje (sin espacios y sin importar mayúsculas) es exactamente "consulta", se activa el modo consulta para ese número (numerosEnModoConsulta en whatsapp_bot_service.js) y el bot responde confirmando. Variantes como "consultar" o "consulta garantias" NO activan el modo. Por ahora la activación no hace nada más: el cierre automático (punto 4), el cierre manual con "salir" (punto 5, pendiente de resolver el choque con el "salir" de asistencia — punto 6) y la interpretación de la pregunta (puntos 8+) siguen pendientes.</t>
  </si>
  <si>
    <t xml:space="preserve">Cierre automático del modo consulta a los 5 minutos de inactividad</t>
  </si>
  <si>
    <t xml:space="preserve">Implementado en whatsapp_bot_service.js: numerosEnModoConsulta pasó de Set a Map (telefono -&gt; timestamp de última actividad). revisarModoConsultaExpirado() corre cada 60s dentro de revisarCron() (mismo cron que ya existía para recordatorios/resumen diario) y cierra + avisa por WhatsApp a cualquier número con más de 5 minutos sin actividad. Cualquier mensaje de alguien ya activo en modo consulta (sea el que sea) renueva el reloj, así que una sesión en uso no se corta a media conversación. De paso quedó resuelto el diseño del almacenamiento con expiración que pedía el punto 7 (se hizo junto con este, eran inseparables). Probado con una simulación aislada de la lógica de tiempos (Date.now() mockeado, sin esperar 5 min reales) y con arranque completo del servidor sin errores.</t>
  </si>
  <si>
    <t xml:space="preserve">Cierre manual del modo consulta con la palabra "salir"</t>
  </si>
  <si>
    <t xml:space="preserve">Pendiente</t>
  </si>
  <si>
    <t xml:space="preserve">Ya definido en la planeación.</t>
  </si>
  <si>
    <t xml:space="preserve">Resolver el choque entre "salir" del modo consulta y "salir" ya usado hoy para cerrar el registro de entrada/salida de área</t>
  </si>
  <si>
    <t xml:space="preserve">Crítica</t>
  </si>
  <si>
    <t xml:space="preserve">Hallazgo al revisar whatsapp_bot_service.js: el comando "salir" ya existe para cerrar asistencia. Falta decidir cuál prevalece si una persona está en los dos "modos" a la vez.</t>
  </si>
  <si>
    <t xml:space="preserve">Diseñar el almacenamiento en memoria del estado "modo consulta" por número, con expiración (mismo patrón que numerosCache)</t>
  </si>
  <si>
    <t xml:space="preserve">Quedó resuelto junto con el punto 4 (cierre automático), porque no se podía implementar el cierre sin definir primero este almacenamiento: numerosEnModoConsulta es un Map en memoria telefono -&gt; timestamp (ms) de última actividad, igual de simple que numerosCache pero con el dato de tiempo que pide la expiración. La revisión de expirados corre cada 60s aprovechando el mismo cron que ya existía (revisarCron), en vez de sumar un temporizador aparte por número.</t>
  </si>
  <si>
    <t xml:space="preserve">Interpretación de la pregunta</t>
  </si>
  <si>
    <t xml:space="preserve">Elegir el mecanismo para interpretar la pregunta: reglas/palabras clave vs. modelo de lenguaje</t>
  </si>
  <si>
    <t xml:space="preserve">Decisión abierta. Reglas: más simple y sin costo, pero solo entiende frases anticipadas. Modelo de lenguaje: más flexible, pero es una pieza nueva en la arquitectura y tiene costo por uso.</t>
  </si>
  <si>
    <t xml:space="preserve">Diseñar cómo se extrae el número de referencia y la cantidad pedida ("top 10", "últimos 10") de la frase</t>
  </si>
  <si>
    <t xml:space="preserve">Consultas a la base de datos</t>
  </si>
  <si>
    <t xml:space="preserve">Construir la consulta de los últimos/top N registros de garantías filtrados por referencia</t>
  </si>
  <si>
    <t xml:space="preserve">Columnas de la tabla garantias ya revisadas en data/garantias.js; coinciden con las columnas del módulo que ya maneja el usuario.</t>
  </si>
  <si>
    <t xml:space="preserve">Construir la consulta del porcentaje por causal dentro de una referencia</t>
  </si>
  <si>
    <t xml:space="preserve">Evaluar cruzar con garantias_tipificacion_problemas para mostrar la descripción del causal en vez del código.</t>
  </si>
  <si>
    <t xml:space="preserve">Confirmar cómo se guarda hoy el campo de causal en cada registro (código del catálogo o texto libre)</t>
  </si>
  <si>
    <t xml:space="preserve">Permisos</t>
  </si>
  <si>
    <t xml:space="preserve">Agregar un permiso nuevo al catálogo de settings/permisosBot.js para esta función (ej. consulta_garantias_detalle)</t>
  </si>
  <si>
    <t xml:space="preserve">Se reutiliza el sistema de permisos por número que ya existe (whatsapp_numero_permisos); no se crea nada aparte.</t>
  </si>
  <si>
    <t xml:space="preserve">Confirmar qué números de la lista ya autorizada tendrán este permiso activo</t>
  </si>
  <si>
    <t xml:space="preserve">Formato de respuesta</t>
  </si>
  <si>
    <t xml:space="preserve">Columnas por defecto en la respuesta: Fecha Reporte, Referencia, Cantidad, Causal/Problema, Estado, Aprobó/Rechazó</t>
  </si>
  <si>
    <t xml:space="preserve">Columnas opcionales que solo se agregan si se piden explícitamente: Registro, NIT Cliente, Cliente/Razón Social, Ciudad, Asesora, Remisión, Revisión Gar.</t>
  </si>
  <si>
    <t xml:space="preserve">Definir a partir de cuántos registros la respuesta se manda como PDF en vez de texto, igual que otros reportes del bot</t>
  </si>
  <si>
    <t xml:space="preserve">Baja</t>
  </si>
  <si>
    <t xml:space="preserve">Pruebas</t>
  </si>
  <si>
    <t xml:space="preserve">Probar referencia inexistente o sin garantías registradas</t>
  </si>
  <si>
    <t xml:space="preserve">Probar expiración del modo consulta a los 5 minutos</t>
  </si>
  <si>
    <t xml:space="preserve">"Probar salir en medio del modo consulta con una sesión de asistencia activa al mismo tiempo"</t>
  </si>
  <si>
    <t xml:space="preserve">Probar número sin el nuevo permiso intentando escribir "consulta"</t>
  </si>
  <si>
    <t xml:space="preserve">Probar una pregunta ambigua o fuera de los formatos soportados</t>
  </si>
  <si>
    <t xml:space="preserve">Extensión futura</t>
  </si>
  <si>
    <t xml:space="preserve">Evaluar replicar el patrón de modo consulta a otros módulos (inventario, producción, etc.) una vez validado con garantías</t>
  </si>
  <si>
    <t xml:space="preserve">Resumen de avance</t>
  </si>
  <si>
    <t xml:space="preserve">Cantidad</t>
  </si>
  <si>
    <t xml:space="preserve">En progreso</t>
  </si>
  <si>
    <t xml:space="preserve">No aplica</t>
  </si>
  <si>
    <t xml:space="preserve">Total de tareas</t>
  </si>
  <si>
    <t xml:space="preserve">% completado</t>
  </si>
  <si>
    <t xml:space="preserve">Tareas críticas pendientes</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</si>
</sst>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Arial"/>
      <family val="2"/>
      <charset val="1"/>
    </font>
    <font>
      <sz val="11"/>
      <name val="Arial"/>
      <family val="2"/>
      <charset val="1"/>
    </font>
    <font>
      <b val="true"/>
      <sz val="13"/>
      <name val="Arial"/>
      <family val="2"/>
      <charset val="1"/>
    </font>
    <font>
      <b val="true"/>
      <sz val="11"/>
      <name val="Arial"/>
      <family val="2"/>
      <charset val="1"/>
    </font>
  </fonts>
  <fills count="15">
    <fill>
      <patternFill patternType="none"/>
    </fill>
    <fill>
      <patternFill patternType="gray125"/>
    </fill>
    <fill>
      <patternFill patternType="solid">
        <fgColor rgb="FF1F2937"/>
        <bgColor rgb="FF333300"/>
      </patternFill>
    </fill>
    <fill>
      <patternFill patternType="solid">
        <fgColor rgb="FFD6EAF8"/>
        <bgColor rgb="FFD5F5E3"/>
      </patternFill>
    </fill>
    <fill>
      <patternFill patternType="solid">
        <fgColor rgb="FFE67E22"/>
        <bgColor rgb="FFFF9900"/>
      </patternFill>
    </fill>
    <fill>
      <patternFill patternType="solid">
        <fgColor rgb="FFF1C40F"/>
        <bgColor rgb="FFFF9900"/>
      </patternFill>
    </fill>
    <fill>
      <patternFill patternType="solid">
        <fgColor rgb="FFE8DAEF"/>
        <bgColor rgb="FFEAE0F8"/>
      </patternFill>
    </fill>
    <fill>
      <patternFill patternType="solid">
        <fgColor rgb="FFC0392B"/>
        <bgColor rgb="FF993366"/>
      </patternFill>
    </fill>
    <fill>
      <patternFill patternType="solid">
        <fgColor rgb="FFFCF3CF"/>
        <bgColor rgb="FFFDEBD0"/>
      </patternFill>
    </fill>
    <fill>
      <patternFill patternType="solid">
        <fgColor rgb="FFFDEBD0"/>
        <bgColor rgb="FFFCF3CF"/>
      </patternFill>
    </fill>
    <fill>
      <patternFill patternType="solid">
        <fgColor rgb="FFEAE0F8"/>
        <bgColor rgb="FFE8DAEF"/>
      </patternFill>
    </fill>
    <fill>
      <patternFill patternType="solid">
        <fgColor rgb="FFD5F5E3"/>
        <bgColor rgb="FFD6EAF8"/>
      </patternFill>
    </fill>
    <fill>
      <patternFill patternType="solid">
        <fgColor rgb="FF7F8C8D"/>
        <bgColor rgb="FF969696"/>
      </patternFill>
    </fill>
    <fill>
      <patternFill patternType="solid">
        <fgColor rgb="FFFDE2E1"/>
        <bgColor rgb="FFFDEBD0"/>
      </patternFill>
    </fill>
    <fill>
      <patternFill patternType="solid">
        <fgColor rgb="FFD2B4DE"/>
        <bgColor rgb="FFCC99FF"/>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4" fillId="5" borderId="1" xfId="0" applyFont="true" applyBorder="true" applyAlignment="true" applyProtection="false">
      <alignment horizontal="center" vertical="center" textRotation="0" wrapText="false" indent="0" shrinkToFit="false"/>
      <protection locked="true" hidden="false"/>
    </xf>
    <xf numFmtId="164" fontId="5" fillId="6" borderId="1" xfId="0" applyFont="true" applyBorder="true" applyAlignment="true" applyProtection="false">
      <alignment horizontal="general"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false" indent="0" shrinkToFit="false"/>
      <protection locked="true" hidden="false"/>
    </xf>
    <xf numFmtId="164" fontId="5" fillId="8" borderId="1" xfId="0" applyFont="true" applyBorder="true" applyAlignment="true" applyProtection="false">
      <alignment horizontal="general" vertical="center" textRotation="0" wrapText="true" indent="0" shrinkToFit="false"/>
      <protection locked="true" hidden="false"/>
    </xf>
    <xf numFmtId="164" fontId="5" fillId="9" borderId="1" xfId="0" applyFont="true" applyBorder="true" applyAlignment="true" applyProtection="false">
      <alignment horizontal="general" vertical="center" textRotation="0" wrapText="true" indent="0" shrinkToFit="false"/>
      <protection locked="true" hidden="false"/>
    </xf>
    <xf numFmtId="164" fontId="5" fillId="10" borderId="1" xfId="0" applyFont="true" applyBorder="true" applyAlignment="true" applyProtection="false">
      <alignment horizontal="general" vertical="center" textRotation="0" wrapText="true" indent="0" shrinkToFit="false"/>
      <protection locked="true" hidden="false"/>
    </xf>
    <xf numFmtId="164" fontId="5" fillId="11" borderId="1" xfId="0" applyFont="true" applyBorder="true" applyAlignment="true" applyProtection="false">
      <alignment horizontal="general" vertical="center" textRotation="0" wrapText="true" indent="0" shrinkToFit="false"/>
      <protection locked="true" hidden="false"/>
    </xf>
    <xf numFmtId="164" fontId="4" fillId="12" borderId="1" xfId="0" applyFont="true" applyBorder="true" applyAlignment="true" applyProtection="false">
      <alignment horizontal="center" vertical="center" textRotation="0" wrapText="false" indent="0" shrinkToFit="false"/>
      <protection locked="true" hidden="false"/>
    </xf>
    <xf numFmtId="164" fontId="5" fillId="13" borderId="1" xfId="0" applyFont="true" applyBorder="true" applyAlignment="true" applyProtection="false">
      <alignment horizontal="general" vertical="center" textRotation="0" wrapText="true" indent="0" shrinkToFit="false"/>
      <protection locked="true" hidden="false"/>
    </xf>
    <xf numFmtId="164" fontId="5" fillId="14"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937"/>
          <bgColor rgb="FF000000"/>
        </patternFill>
      </fill>
    </dxf>
    <dxf>
      <fill>
        <patternFill patternType="solid">
          <bgColor rgb="FF000000"/>
        </patternFill>
      </fill>
    </dxf>
    <dxf>
      <fill>
        <patternFill patternType="solid">
          <fgColor rgb="FFFFFFFF"/>
          <bgColor rgb="FF000000"/>
        </patternFill>
      </fill>
    </dxf>
    <dxf>
      <fill>
        <patternFill patternType="solid">
          <fgColor rgb="FFD2B4DE"/>
          <bgColor rgb="FF000000"/>
        </patternFill>
      </fill>
    </dxf>
    <dxf>
      <fill>
        <patternFill patternType="solid">
          <fgColor rgb="FFD5F5E3"/>
          <bgColor rgb="FF000000"/>
        </patternFill>
      </fill>
    </dxf>
    <dxf>
      <fill>
        <patternFill patternType="solid">
          <fgColor rgb="FFD6EAF8"/>
          <bgColor rgb="FF000000"/>
        </patternFill>
      </fill>
    </dxf>
    <dxf>
      <fill>
        <patternFill patternType="solid">
          <fgColor rgb="FFE8DAEF"/>
          <bgColor rgb="FF000000"/>
        </patternFill>
      </fill>
    </dxf>
    <dxf>
      <fill>
        <patternFill patternType="solid">
          <fgColor rgb="FFEAE0F8"/>
          <bgColor rgb="FF000000"/>
        </patternFill>
      </fill>
    </dxf>
    <dxf>
      <fill>
        <patternFill patternType="solid">
          <fgColor rgb="FFFCF3CF"/>
          <bgColor rgb="FF000000"/>
        </patternFill>
      </fill>
    </dxf>
    <dxf>
      <fill>
        <patternFill patternType="solid">
          <fgColor rgb="FFFDE2E1"/>
          <bgColor rgb="FF000000"/>
        </patternFill>
      </fill>
    </dxf>
    <dxf>
      <fill>
        <patternFill patternType="solid">
          <fgColor rgb="FFFDEBD0"/>
          <bgColor rgb="FF000000"/>
        </patternFill>
      </fill>
    </dxf>
    <dxf>
      <fill>
        <patternFill patternType="solid">
          <fgColor rgb="FF7F8C8D"/>
          <bgColor rgb="FF000000"/>
        </patternFill>
      </fill>
    </dxf>
    <dxf>
      <fill>
        <patternFill patternType="solid">
          <fgColor rgb="FFC0392B"/>
          <bgColor rgb="FF000000"/>
        </patternFill>
      </fill>
    </dxf>
    <dxf>
      <fill>
        <patternFill patternType="solid">
          <fgColor rgb="FFE67E22"/>
          <bgColor rgb="FF000000"/>
        </patternFill>
      </fill>
    </dxf>
    <dxf>
      <fill>
        <patternFill patternType="solid">
          <fgColor rgb="FFF1C40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2B4DE"/>
      <rgbColor rgb="FF7F8C8D"/>
      <rgbColor rgb="FF9999FF"/>
      <rgbColor rgb="FF993366"/>
      <rgbColor rgb="FFFCF3CF"/>
      <rgbColor rgb="FFD6EAF8"/>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AE0F8"/>
      <rgbColor rgb="FFD5F5E3"/>
      <rgbColor rgb="FFFDEBD0"/>
      <rgbColor rgb="FFE8DAEF"/>
      <rgbColor rgb="FFFF99CC"/>
      <rgbColor rgb="FFCC99FF"/>
      <rgbColor rgb="FFFDE2E1"/>
      <rgbColor rgb="FF3366FF"/>
      <rgbColor rgb="FF33CCCC"/>
      <rgbColor rgb="FF99CC00"/>
      <rgbColor rgb="FFF1C40F"/>
      <rgbColor rgb="FFFF9900"/>
      <rgbColor rgb="FFE67E22"/>
      <rgbColor rgb="FF666699"/>
      <rgbColor rgb="FF969696"/>
      <rgbColor rgb="FF003366"/>
      <rgbColor rgb="FF339966"/>
      <rgbColor rgb="FF003300"/>
      <rgbColor rgb="FF333300"/>
      <rgbColor rgb="FFC0392B"/>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8" activeCellId="0" sqref="D8"/>
    </sheetView>
  </sheetViews>
  <sheetFormatPr defaultColWidth="8.71484375" defaultRowHeight="15" zeroHeight="false" outlineLevelRow="0" outlineLevelCol="0"/>
  <cols>
    <col collapsed="false" customWidth="true" hidden="false" outlineLevel="0" max="1" min="1" style="1" width="5"/>
    <col collapsed="false" customWidth="true" hidden="false" outlineLevel="0" max="2" min="2" style="1" width="24"/>
    <col collapsed="false" customWidth="true" hidden="false" outlineLevel="0" max="3" min="3" style="1" width="62"/>
    <col collapsed="false" customWidth="true" hidden="false" outlineLevel="0" max="4" min="4" style="1" width="12"/>
    <col collapsed="false" customWidth="true" hidden="false" outlineLevel="0" max="5" min="5" style="1" width="14"/>
    <col collapsed="false" customWidth="true" hidden="false" outlineLevel="0" max="6" min="6" style="1" width="70"/>
    <col collapsed="false" customWidth="true" hidden="false" outlineLevel="0" max="7" min="7" style="1" width="18"/>
  </cols>
  <sheetData>
    <row r="1" customFormat="false" ht="30" hidden="false" customHeight="true" outlineLevel="0" collapsed="false">
      <c r="A1" s="2" t="s">
        <v>0</v>
      </c>
      <c r="B1" s="2" t="s">
        <v>1</v>
      </c>
      <c r="C1" s="2" t="s">
        <v>2</v>
      </c>
      <c r="D1" s="2" t="s">
        <v>3</v>
      </c>
      <c r="E1" s="2" t="s">
        <v>4</v>
      </c>
      <c r="F1" s="2" t="s">
        <v>5</v>
      </c>
      <c r="G1" s="2" t="s">
        <v>6</v>
      </c>
    </row>
    <row r="2" customFormat="false" ht="42.75" hidden="false" customHeight="true" outlineLevel="0" collapsed="false">
      <c r="A2" s="3" t="n">
        <v>1</v>
      </c>
      <c r="B2" s="4" t="s">
        <v>7</v>
      </c>
      <c r="C2" s="5" t="s">
        <v>8</v>
      </c>
      <c r="D2" s="6" t="s">
        <v>9</v>
      </c>
      <c r="E2" s="3" t="s">
        <v>10</v>
      </c>
      <c r="F2" s="5" t="s">
        <v>11</v>
      </c>
      <c r="G2" s="3" t="s">
        <v>12</v>
      </c>
    </row>
    <row r="3" customFormat="false" ht="28.5" hidden="false" customHeight="true" outlineLevel="0" collapsed="false">
      <c r="A3" s="3" t="n">
        <v>2</v>
      </c>
      <c r="B3" s="4" t="s">
        <v>7</v>
      </c>
      <c r="C3" s="5" t="s">
        <v>13</v>
      </c>
      <c r="D3" s="7" t="s">
        <v>14</v>
      </c>
      <c r="E3" s="3" t="s">
        <v>10</v>
      </c>
      <c r="F3" s="5" t="s">
        <v>15</v>
      </c>
      <c r="G3" s="3" t="s">
        <v>12</v>
      </c>
    </row>
    <row r="4" customFormat="false" ht="28.5" hidden="false" customHeight="true" outlineLevel="0" collapsed="false">
      <c r="A4" s="3" t="n">
        <v>3</v>
      </c>
      <c r="B4" s="8" t="s">
        <v>16</v>
      </c>
      <c r="C4" s="5" t="s">
        <v>17</v>
      </c>
      <c r="D4" s="6" t="s">
        <v>9</v>
      </c>
      <c r="E4" s="3" t="s">
        <v>10</v>
      </c>
      <c r="F4" s="5" t="s">
        <v>18</v>
      </c>
      <c r="G4" s="3" t="s">
        <v>12</v>
      </c>
    </row>
    <row r="5" customFormat="false" ht="28.5" hidden="false" customHeight="true" outlineLevel="0" collapsed="false">
      <c r="A5" s="3" t="n">
        <v>4</v>
      </c>
      <c r="B5" s="8" t="s">
        <v>16</v>
      </c>
      <c r="C5" s="5" t="s">
        <v>19</v>
      </c>
      <c r="D5" s="6" t="s">
        <v>9</v>
      </c>
      <c r="E5" s="3" t="s">
        <v>10</v>
      </c>
      <c r="F5" s="5" t="s">
        <v>20</v>
      </c>
      <c r="G5" s="3" t="s">
        <v>12</v>
      </c>
    </row>
    <row r="6" customFormat="false" ht="28.5" hidden="false" customHeight="true" outlineLevel="0" collapsed="false">
      <c r="A6" s="3" t="n">
        <v>5</v>
      </c>
      <c r="B6" s="8" t="s">
        <v>16</v>
      </c>
      <c r="C6" s="5" t="s">
        <v>21</v>
      </c>
      <c r="D6" s="6" t="s">
        <v>9</v>
      </c>
      <c r="E6" s="3" t="s">
        <v>22</v>
      </c>
      <c r="F6" s="5" t="s">
        <v>23</v>
      </c>
      <c r="G6" s="3"/>
    </row>
    <row r="7" customFormat="false" ht="42.75" hidden="false" customHeight="true" outlineLevel="0" collapsed="false">
      <c r="A7" s="3" t="n">
        <v>6</v>
      </c>
      <c r="B7" s="8" t="s">
        <v>16</v>
      </c>
      <c r="C7" s="5" t="s">
        <v>24</v>
      </c>
      <c r="D7" s="9" t="s">
        <v>25</v>
      </c>
      <c r="E7" s="3" t="s">
        <v>22</v>
      </c>
      <c r="F7" s="5" t="s">
        <v>26</v>
      </c>
      <c r="G7" s="3"/>
    </row>
    <row r="8" customFormat="false" ht="42.75" hidden="false" customHeight="true" outlineLevel="0" collapsed="false">
      <c r="A8" s="3" t="n">
        <v>7</v>
      </c>
      <c r="B8" s="8" t="s">
        <v>16</v>
      </c>
      <c r="C8" s="5" t="s">
        <v>27</v>
      </c>
      <c r="D8" s="6" t="s">
        <v>9</v>
      </c>
      <c r="E8" s="3" t="s">
        <v>10</v>
      </c>
      <c r="F8" s="5" t="s">
        <v>28</v>
      </c>
      <c r="G8" s="3" t="s">
        <v>12</v>
      </c>
    </row>
    <row r="9" customFormat="false" ht="42.75" hidden="false" customHeight="true" outlineLevel="0" collapsed="false">
      <c r="A9" s="3" t="n">
        <v>8</v>
      </c>
      <c r="B9" s="10" t="s">
        <v>29</v>
      </c>
      <c r="C9" s="5" t="s">
        <v>30</v>
      </c>
      <c r="D9" s="9" t="s">
        <v>25</v>
      </c>
      <c r="E9" s="3" t="s">
        <v>22</v>
      </c>
      <c r="F9" s="5" t="s">
        <v>31</v>
      </c>
      <c r="G9" s="3"/>
    </row>
    <row r="10" customFormat="false" ht="28.5" hidden="false" customHeight="true" outlineLevel="0" collapsed="false">
      <c r="A10" s="3" t="n">
        <v>9</v>
      </c>
      <c r="B10" s="10" t="s">
        <v>29</v>
      </c>
      <c r="C10" s="5" t="s">
        <v>32</v>
      </c>
      <c r="D10" s="6" t="s">
        <v>9</v>
      </c>
      <c r="E10" s="3" t="s">
        <v>22</v>
      </c>
      <c r="F10" s="5"/>
      <c r="G10" s="3"/>
    </row>
    <row r="11" customFormat="false" ht="28.5" hidden="false" customHeight="true" outlineLevel="0" collapsed="false">
      <c r="A11" s="3" t="n">
        <v>10</v>
      </c>
      <c r="B11" s="11" t="s">
        <v>33</v>
      </c>
      <c r="C11" s="5" t="s">
        <v>34</v>
      </c>
      <c r="D11" s="6" t="s">
        <v>9</v>
      </c>
      <c r="E11" s="3" t="s">
        <v>22</v>
      </c>
      <c r="F11" s="5" t="s">
        <v>35</v>
      </c>
      <c r="G11" s="3"/>
    </row>
    <row r="12" customFormat="false" ht="28.5" hidden="false" customHeight="true" outlineLevel="0" collapsed="false">
      <c r="A12" s="3" t="n">
        <v>11</v>
      </c>
      <c r="B12" s="11" t="s">
        <v>33</v>
      </c>
      <c r="C12" s="5" t="s">
        <v>36</v>
      </c>
      <c r="D12" s="6" t="s">
        <v>9</v>
      </c>
      <c r="E12" s="3" t="s">
        <v>22</v>
      </c>
      <c r="F12" s="5" t="s">
        <v>37</v>
      </c>
      <c r="G12" s="3"/>
    </row>
    <row r="13" customFormat="false" ht="28.5" hidden="false" customHeight="true" outlineLevel="0" collapsed="false">
      <c r="A13" s="3" t="n">
        <v>12</v>
      </c>
      <c r="B13" s="11" t="s">
        <v>33</v>
      </c>
      <c r="C13" s="5" t="s">
        <v>38</v>
      </c>
      <c r="D13" s="7" t="s">
        <v>14</v>
      </c>
      <c r="E13" s="3" t="s">
        <v>22</v>
      </c>
      <c r="F13" s="5"/>
      <c r="G13" s="3"/>
    </row>
    <row r="14" customFormat="false" ht="42.75" hidden="false" customHeight="true" outlineLevel="0" collapsed="false">
      <c r="A14" s="3" t="n">
        <v>13</v>
      </c>
      <c r="B14" s="12" t="s">
        <v>39</v>
      </c>
      <c r="C14" s="5" t="s">
        <v>40</v>
      </c>
      <c r="D14" s="6" t="s">
        <v>9</v>
      </c>
      <c r="E14" s="3" t="s">
        <v>22</v>
      </c>
      <c r="F14" s="5" t="s">
        <v>41</v>
      </c>
      <c r="G14" s="3"/>
    </row>
    <row r="15" customFormat="false" ht="28.5" hidden="false" customHeight="true" outlineLevel="0" collapsed="false">
      <c r="A15" s="3" t="n">
        <v>14</v>
      </c>
      <c r="B15" s="12" t="s">
        <v>39</v>
      </c>
      <c r="C15" s="5" t="s">
        <v>42</v>
      </c>
      <c r="D15" s="7" t="s">
        <v>14</v>
      </c>
      <c r="E15" s="3" t="s">
        <v>22</v>
      </c>
      <c r="F15" s="5"/>
      <c r="G15" s="3"/>
    </row>
    <row r="16" customFormat="false" ht="42.75" hidden="false" customHeight="true" outlineLevel="0" collapsed="false">
      <c r="A16" s="3" t="n">
        <v>15</v>
      </c>
      <c r="B16" s="13" t="s">
        <v>43</v>
      </c>
      <c r="C16" s="5" t="s">
        <v>44</v>
      </c>
      <c r="D16" s="7" t="s">
        <v>14</v>
      </c>
      <c r="E16" s="3" t="s">
        <v>22</v>
      </c>
      <c r="F16" s="5" t="s">
        <v>23</v>
      </c>
      <c r="G16" s="3"/>
    </row>
    <row r="17" customFormat="false" ht="42.75" hidden="false" customHeight="true" outlineLevel="0" collapsed="false">
      <c r="A17" s="3" t="n">
        <v>16</v>
      </c>
      <c r="B17" s="13" t="s">
        <v>43</v>
      </c>
      <c r="C17" s="5" t="s">
        <v>45</v>
      </c>
      <c r="D17" s="7" t="s">
        <v>14</v>
      </c>
      <c r="E17" s="3" t="s">
        <v>22</v>
      </c>
      <c r="F17" s="5" t="s">
        <v>23</v>
      </c>
      <c r="G17" s="3"/>
    </row>
    <row r="18" customFormat="false" ht="28.5" hidden="false" customHeight="true" outlineLevel="0" collapsed="false">
      <c r="A18" s="3" t="n">
        <v>17</v>
      </c>
      <c r="B18" s="13" t="s">
        <v>43</v>
      </c>
      <c r="C18" s="5" t="s">
        <v>46</v>
      </c>
      <c r="D18" s="14" t="s">
        <v>47</v>
      </c>
      <c r="E18" s="3" t="s">
        <v>22</v>
      </c>
      <c r="F18" s="5"/>
      <c r="G18" s="3"/>
    </row>
    <row r="19" customFormat="false" ht="15" hidden="false" customHeight="true" outlineLevel="0" collapsed="false">
      <c r="A19" s="3" t="n">
        <v>18</v>
      </c>
      <c r="B19" s="15" t="s">
        <v>48</v>
      </c>
      <c r="C19" s="5" t="s">
        <v>49</v>
      </c>
      <c r="D19" s="7" t="s">
        <v>14</v>
      </c>
      <c r="E19" s="3" t="s">
        <v>22</v>
      </c>
      <c r="F19" s="5"/>
      <c r="G19" s="3"/>
    </row>
    <row r="20" customFormat="false" ht="15" hidden="false" customHeight="true" outlineLevel="0" collapsed="false">
      <c r="A20" s="3" t="n">
        <v>19</v>
      </c>
      <c r="B20" s="15" t="s">
        <v>48</v>
      </c>
      <c r="C20" s="5" t="s">
        <v>50</v>
      </c>
      <c r="D20" s="7" t="s">
        <v>14</v>
      </c>
      <c r="E20" s="3" t="s">
        <v>22</v>
      </c>
      <c r="F20" s="5"/>
      <c r="G20" s="3"/>
    </row>
    <row r="21" customFormat="false" ht="28.5" hidden="false" customHeight="true" outlineLevel="0" collapsed="false">
      <c r="A21" s="3" t="n">
        <v>20</v>
      </c>
      <c r="B21" s="15" t="s">
        <v>48</v>
      </c>
      <c r="C21" s="5" t="s">
        <v>51</v>
      </c>
      <c r="D21" s="6" t="s">
        <v>9</v>
      </c>
      <c r="E21" s="3" t="s">
        <v>22</v>
      </c>
      <c r="F21" s="5"/>
      <c r="G21" s="3"/>
    </row>
    <row r="22" customFormat="false" ht="28.5" hidden="false" customHeight="true" outlineLevel="0" collapsed="false">
      <c r="A22" s="3" t="n">
        <v>21</v>
      </c>
      <c r="B22" s="15" t="s">
        <v>48</v>
      </c>
      <c r="C22" s="5" t="s">
        <v>52</v>
      </c>
      <c r="D22" s="7" t="s">
        <v>14</v>
      </c>
      <c r="E22" s="3" t="s">
        <v>22</v>
      </c>
      <c r="F22" s="5"/>
      <c r="G22" s="3"/>
    </row>
    <row r="23" customFormat="false" ht="28.5" hidden="false" customHeight="true" outlineLevel="0" collapsed="false">
      <c r="A23" s="3" t="n">
        <v>22</v>
      </c>
      <c r="B23" s="15" t="s">
        <v>48</v>
      </c>
      <c r="C23" s="5" t="s">
        <v>53</v>
      </c>
      <c r="D23" s="7" t="s">
        <v>14</v>
      </c>
      <c r="E23" s="3" t="s">
        <v>22</v>
      </c>
      <c r="F23" s="5"/>
      <c r="G23" s="3"/>
    </row>
    <row r="24" customFormat="false" ht="28.5" hidden="false" customHeight="true" outlineLevel="0" collapsed="false">
      <c r="A24" s="3" t="n">
        <v>23</v>
      </c>
      <c r="B24" s="16" t="s">
        <v>54</v>
      </c>
      <c r="C24" s="5" t="s">
        <v>55</v>
      </c>
      <c r="D24" s="14" t="s">
        <v>47</v>
      </c>
      <c r="E24" s="3" t="s">
        <v>22</v>
      </c>
      <c r="F24" s="5"/>
      <c r="G24" s="3"/>
    </row>
  </sheetData>
  <autoFilter ref="A1:G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2" min="2" style="1" width="14"/>
  </cols>
  <sheetData>
    <row r="1" customFormat="false" ht="16.5" hidden="false" customHeight="true" outlineLevel="0" collapsed="false">
      <c r="A1" s="17" t="s">
        <v>56</v>
      </c>
    </row>
    <row r="3" customFormat="false" ht="15" hidden="false" customHeight="true" outlineLevel="0" collapsed="false">
      <c r="A3" s="18" t="s">
        <v>4</v>
      </c>
      <c r="B3" s="18" t="s">
        <v>57</v>
      </c>
    </row>
    <row r="4" customFormat="false" ht="15" hidden="false" customHeight="true" outlineLevel="0" collapsed="false">
      <c r="A4" s="19" t="s">
        <v>22</v>
      </c>
      <c r="B4" s="19" t="n">
        <f aca="false">COUNTIF('Plan de trabajo'!E2:E24,A4)</f>
        <v>18</v>
      </c>
    </row>
    <row r="5" customFormat="false" ht="15" hidden="false" customHeight="true" outlineLevel="0" collapsed="false">
      <c r="A5" s="19" t="s">
        <v>58</v>
      </c>
      <c r="B5" s="19" t="n">
        <f aca="false">COUNTIF('Plan de trabajo'!E2:E24,A5)</f>
        <v>0</v>
      </c>
    </row>
    <row r="6" customFormat="false" ht="15" hidden="false" customHeight="true" outlineLevel="0" collapsed="false">
      <c r="A6" s="19" t="s">
        <v>10</v>
      </c>
      <c r="B6" s="19" t="n">
        <f aca="false">COUNTIF('Plan de trabajo'!E2:E24,A6)</f>
        <v>5</v>
      </c>
    </row>
    <row r="7" customFormat="false" ht="15" hidden="false" customHeight="true" outlineLevel="0" collapsed="false">
      <c r="A7" s="19" t="s">
        <v>59</v>
      </c>
      <c r="B7" s="19" t="n">
        <f aca="false">COUNTIF('Plan de trabajo'!E2:E24,A7)</f>
        <v>0</v>
      </c>
    </row>
    <row r="9" customFormat="false" ht="15" hidden="false" customHeight="true" outlineLevel="0" collapsed="false">
      <c r="A9" s="18" t="s">
        <v>60</v>
      </c>
      <c r="B9" s="18" t="n">
        <f aca="false">COUNTA('Plan de trabajo'!C2:C24)</f>
        <v>23</v>
      </c>
    </row>
    <row r="11" customFormat="false" ht="15" hidden="false" customHeight="true" outlineLevel="0" collapsed="false">
      <c r="A11" s="18" t="s">
        <v>61</v>
      </c>
      <c r="B11" s="20" t="n">
        <f aca="false">B6/B9</f>
        <v>0.217391304347826</v>
      </c>
    </row>
    <row r="13" customFormat="false" ht="15" hidden="false" customHeight="true" outlineLevel="0" collapsed="false">
      <c r="A13" s="18" t="s">
        <v>62</v>
      </c>
      <c r="B13" s="18" t="n">
        <f aca="false">COUNTIFS('Plan de trabajo'!D2:D24,"Crítica",'Plan de trabajo'!E2:E24,"Pendiente")</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2026-08-24T17:01:22Z</dcterms:created>
  <dc:creator>openpyxl</dc:creator>
  <dc:description/>
  <dc:language>en-US</dc:language>
  <cp:lastModifiedBy>PlastInnova PI</cp:lastModifiedBy>
  <dcterms:modified xsi:type="dcterms:W3CDTF">2026-08-27T20:08:26Z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