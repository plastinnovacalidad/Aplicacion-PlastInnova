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9fb1538f49df04/Escritorio/app-circuitos-smd-v2/docs/"/>
    </mc:Choice>
  </mc:AlternateContent>
  <xr:revisionPtr revIDLastSave="5" documentId="11_D00C167609B89D0E3CF7626E669C0829FEDB75F5" xr6:coauthVersionLast="47" xr6:coauthVersionMax="47" xr10:uidLastSave="{F35012F1-DDAF-444E-A0A9-D112EB05511B}"/>
  <bookViews>
    <workbookView xWindow="-120" yWindow="-120" windowWidth="29040" windowHeight="15720" tabRatio="500" xr2:uid="{00000000-000D-0000-FFFF-FFFF00000000}"/>
  </bookViews>
  <sheets>
    <sheet name="Plan de trabajo" sheetId="1" r:id="rId1"/>
    <sheet name="Resumen" sheetId="2" r:id="rId2"/>
  </sheets>
  <definedNames>
    <definedName name="_xlnm._FilterDatabase" localSheetId="0" hidden="1">'Plan de trabajo'!$A$1:$G$24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B9" i="2"/>
  <c r="B7" i="2"/>
  <c r="B6" i="2"/>
  <c r="B11" i="2" s="1"/>
  <c r="B5" i="2"/>
  <c r="B4" i="2"/>
</calcChain>
</file>

<file path=xl/sharedStrings.xml><?xml version="1.0" encoding="utf-8"?>
<sst xmlns="http://schemas.openxmlformats.org/spreadsheetml/2006/main" count="120" uniqueCount="58">
  <si>
    <t>#</t>
  </si>
  <si>
    <t>Categoría</t>
  </si>
  <si>
    <t>Tarea</t>
  </si>
  <si>
    <t>Prioridad</t>
  </si>
  <si>
    <t>Estado</t>
  </si>
  <si>
    <t>Notas</t>
  </si>
  <si>
    <t>Última actualización</t>
  </si>
  <si>
    <t>Diseño de la consulta</t>
  </si>
  <si>
    <t>Definir los tipos de pregunta que el bot va a soportar al inicio (últimos/top N registros de una referencia; porcentaje por causal de una referencia)</t>
  </si>
  <si>
    <t>Alta</t>
  </si>
  <si>
    <t>Pendiente</t>
  </si>
  <si>
    <t>Ya definido en la planeación: por ahora dos tipos de consulta, ambos sobre el módulo de Garantías.</t>
  </si>
  <si>
    <t>Definir qué responde el bot cuando la pregunta no encaja en ninguno de los formatos soportados</t>
  </si>
  <si>
    <t>Media</t>
  </si>
  <si>
    <t>Activación y sesión (modo consulta)</t>
  </si>
  <si>
    <t>Palabra de activación exacta "consulta" al inicio del mensaje (sin variantes)</t>
  </si>
  <si>
    <t>Ya definido en la planeación.</t>
  </si>
  <si>
    <t>Cierre automático del modo consulta a los 5 minutos de inactividad</t>
  </si>
  <si>
    <t>Cierre manual del modo consulta con la palabra "salir"</t>
  </si>
  <si>
    <t>Resolver el choque entre "salir" del modo consulta y "salir" ya usado hoy para cerrar el registro de entrada/salida de área</t>
  </si>
  <si>
    <t>Crítica</t>
  </si>
  <si>
    <t>Hallazgo al revisar whatsapp_bot_service.js: el comando "salir" ya existe para cerrar asistencia. Falta decidir cuál prevalece si una persona está en los dos "modos" a la vez.</t>
  </si>
  <si>
    <t>Diseñar el almacenamiento en memoria del estado "modo consulta" por número, con expiración (mismo patrón que numerosCache)</t>
  </si>
  <si>
    <t>Interpretación de la pregunta</t>
  </si>
  <si>
    <t>Elegir el mecanismo para interpretar la pregunta: reglas/palabras clave vs. modelo de lenguaje</t>
  </si>
  <si>
    <t>Decisión abierta. Reglas: más simple y sin costo, pero solo entiende frases anticipadas. Modelo de lenguaje: más flexible, pero es una pieza nueva en la arquitectura y tiene costo por uso.</t>
  </si>
  <si>
    <t>Diseñar cómo se extrae el número de referencia y la cantidad pedida ("top 10", "últimos 10") de la frase</t>
  </si>
  <si>
    <t>Consultas a la base de datos</t>
  </si>
  <si>
    <t>Construir la consulta de los últimos/top N registros de garantías filtrados por referencia</t>
  </si>
  <si>
    <t>Columnas de la tabla garantias ya revisadas en data/garantias.js; coinciden con las columnas del módulo que ya maneja el usuario.</t>
  </si>
  <si>
    <t>Construir la consulta del porcentaje por causal dentro de una referencia</t>
  </si>
  <si>
    <t>Evaluar cruzar con garantias_tipificacion_problemas para mostrar la descripción del causal en vez del código.</t>
  </si>
  <si>
    <t>Confirmar cómo se guarda hoy el campo de causal en cada registro (código del catálogo o texto libre)</t>
  </si>
  <si>
    <t>Permisos</t>
  </si>
  <si>
    <t>Agregar un permiso nuevo al catálogo de settings/permisosBot.js para esta función (ej. consulta_garantias_detalle)</t>
  </si>
  <si>
    <t>Se reutiliza el sistema de permisos por número que ya existe (whatsapp_numero_permisos); no se crea nada aparte.</t>
  </si>
  <si>
    <t>Confirmar qué números de la lista ya autorizada tendrán este permiso activo</t>
  </si>
  <si>
    <t>Formato de respuesta</t>
  </si>
  <si>
    <t>Columnas por defecto en la respuesta: Fecha Reporte, Referencia, Cantidad, Causal/Problema, Estado, Aprobó/Rechazó</t>
  </si>
  <si>
    <t>Columnas opcionales que solo se agregan si se piden explícitamente: Registro, NIT Cliente, Cliente/Razón Social, Ciudad, Asesora, Remisión, Revisión Gar.</t>
  </si>
  <si>
    <t>Definir a partir de cuántos registros la respuesta se manda como PDF en vez de texto, igual que otros reportes del bot</t>
  </si>
  <si>
    <t>Baja</t>
  </si>
  <si>
    <t>Pruebas</t>
  </si>
  <si>
    <t>Probar referencia inexistente o sin garantías registradas</t>
  </si>
  <si>
    <t>Probar expiración del modo consulta a los 5 minutos</t>
  </si>
  <si>
    <t>"Probar salir en medio del modo consulta con una sesión de asistencia activa al mismo tiempo"</t>
  </si>
  <si>
    <t>Probar número sin el nuevo permiso intentando escribir "consulta"</t>
  </si>
  <si>
    <t>Probar una pregunta ambigua o fuera de los formatos soportados</t>
  </si>
  <si>
    <t>Extensión futura</t>
  </si>
  <si>
    <t>Evaluar replicar el patrón de modo consulta a otros módulos (inventario, producción, etc.) una vez validado con garantías</t>
  </si>
  <si>
    <t>Resumen de avance</t>
  </si>
  <si>
    <t>Cantidad</t>
  </si>
  <si>
    <t>En progreso</t>
  </si>
  <si>
    <t>Hecho</t>
  </si>
  <si>
    <t>No aplica</t>
  </si>
  <si>
    <t>Total de tareas</t>
  </si>
  <si>
    <t>% completado</t>
  </si>
  <si>
    <t>Tareas críticas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</si>
</sst>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6EAF8"/>
        <bgColor rgb="FFD5F5E3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E8DAEF"/>
        <bgColor rgb="FFEAE0F8"/>
      </patternFill>
    </fill>
    <fill>
      <patternFill patternType="solid">
        <fgColor rgb="FFC0392B"/>
        <bgColor rgb="FF993366"/>
      </patternFill>
    </fill>
    <fill>
      <patternFill patternType="solid">
        <fgColor rgb="FFFCF3CF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EAE0F8"/>
        <bgColor rgb="FFE8DAEF"/>
      </patternFill>
    </fill>
    <fill>
      <patternFill patternType="solid">
        <fgColor rgb="FFD5F5E3"/>
        <bgColor rgb="FFD6EAF8"/>
      </patternFill>
    </fill>
    <fill>
      <patternFill patternType="solid">
        <fgColor rgb="FF7F8C8D"/>
        <bgColor rgb="FF969696"/>
      </patternFill>
    </fill>
    <fill>
      <patternFill patternType="solid">
        <fgColor rgb="FFFDE2E1"/>
        <bgColor rgb="FFFDEBD0"/>
      </patternFill>
    </fill>
    <fill>
      <patternFill patternType="solid">
        <fgColor rgb="FFD2B4DE"/>
        <bgColor rgb="FFCC99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2B4DE"/>
      <rgbColor rgb="FF7F8C8D"/>
      <rgbColor rgb="FF9999FF"/>
      <rgbColor rgb="FF993366"/>
      <rgbColor rgb="FFFCF3CF"/>
      <rgbColor rgb="FFD6EA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0F8"/>
      <rgbColor rgb="FFD5F5E3"/>
      <rgbColor rgb="FFFDEBD0"/>
      <rgbColor rgb="FFE8DAEF"/>
      <rgbColor rgb="FFFF99CC"/>
      <rgbColor rgb="FFCC99FF"/>
      <rgbColor rgb="FFFDE2E1"/>
      <rgbColor rgb="FF3366FF"/>
      <rgbColor rgb="FF33CCCC"/>
      <rgbColor rgb="FF99CC00"/>
      <rgbColor rgb="FFF1C40F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4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baseColWidth="10" defaultColWidth="8.7109375" defaultRowHeight="15" x14ac:dyDescent="0.25"/>
  <cols>
    <col min="1" max="1" width="5" customWidth="1"/>
    <col min="2" max="2" width="24" customWidth="1"/>
    <col min="3" max="3" width="62" customWidth="1"/>
    <col min="4" max="4" width="12" customWidth="1"/>
    <col min="5" max="5" width="14" customWidth="1"/>
    <col min="6" max="6" width="70" customWidth="1"/>
    <col min="7" max="7" width="18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25">
      <c r="A2" s="2">
        <v>1</v>
      </c>
      <c r="B2" s="3" t="s">
        <v>7</v>
      </c>
      <c r="C2" s="4" t="s">
        <v>8</v>
      </c>
      <c r="D2" s="5" t="s">
        <v>9</v>
      </c>
      <c r="E2" s="2" t="s">
        <v>10</v>
      </c>
      <c r="F2" s="4" t="s">
        <v>11</v>
      </c>
      <c r="G2" s="2"/>
    </row>
    <row r="3" spans="1:7" ht="28.5" hidden="1" x14ac:dyDescent="0.25">
      <c r="A3" s="2">
        <v>2</v>
      </c>
      <c r="B3" s="3" t="s">
        <v>7</v>
      </c>
      <c r="C3" s="4" t="s">
        <v>12</v>
      </c>
      <c r="D3" s="6" t="s">
        <v>13</v>
      </c>
      <c r="E3" s="2" t="s">
        <v>10</v>
      </c>
      <c r="F3" s="4"/>
      <c r="G3" s="2"/>
    </row>
    <row r="4" spans="1:7" ht="28.5" x14ac:dyDescent="0.25">
      <c r="A4" s="2">
        <v>3</v>
      </c>
      <c r="B4" s="7" t="s">
        <v>14</v>
      </c>
      <c r="C4" s="4" t="s">
        <v>15</v>
      </c>
      <c r="D4" s="5" t="s">
        <v>9</v>
      </c>
      <c r="E4" s="2" t="s">
        <v>10</v>
      </c>
      <c r="F4" s="4" t="s">
        <v>16</v>
      </c>
      <c r="G4" s="2"/>
    </row>
    <row r="5" spans="1:7" ht="28.5" x14ac:dyDescent="0.25">
      <c r="A5" s="2">
        <v>4</v>
      </c>
      <c r="B5" s="7" t="s">
        <v>14</v>
      </c>
      <c r="C5" s="4" t="s">
        <v>17</v>
      </c>
      <c r="D5" s="5" t="s">
        <v>9</v>
      </c>
      <c r="E5" s="2" t="s">
        <v>10</v>
      </c>
      <c r="F5" s="4" t="s">
        <v>16</v>
      </c>
      <c r="G5" s="2"/>
    </row>
    <row r="6" spans="1:7" ht="28.5" x14ac:dyDescent="0.25">
      <c r="A6" s="2">
        <v>5</v>
      </c>
      <c r="B6" s="7" t="s">
        <v>14</v>
      </c>
      <c r="C6" s="4" t="s">
        <v>18</v>
      </c>
      <c r="D6" s="5" t="s">
        <v>9</v>
      </c>
      <c r="E6" s="2" t="s">
        <v>10</v>
      </c>
      <c r="F6" s="4" t="s">
        <v>16</v>
      </c>
      <c r="G6" s="2"/>
    </row>
    <row r="7" spans="1:7" ht="42.75" hidden="1" x14ac:dyDescent="0.25">
      <c r="A7" s="2">
        <v>6</v>
      </c>
      <c r="B7" s="7" t="s">
        <v>14</v>
      </c>
      <c r="C7" s="4" t="s">
        <v>19</v>
      </c>
      <c r="D7" s="8" t="s">
        <v>20</v>
      </c>
      <c r="E7" s="2" t="s">
        <v>10</v>
      </c>
      <c r="F7" s="4" t="s">
        <v>21</v>
      </c>
      <c r="G7" s="2"/>
    </row>
    <row r="8" spans="1:7" ht="42.75" x14ac:dyDescent="0.25">
      <c r="A8" s="2">
        <v>7</v>
      </c>
      <c r="B8" s="7" t="s">
        <v>14</v>
      </c>
      <c r="C8" s="4" t="s">
        <v>22</v>
      </c>
      <c r="D8" s="5" t="s">
        <v>9</v>
      </c>
      <c r="E8" s="2" t="s">
        <v>10</v>
      </c>
      <c r="F8" s="4"/>
      <c r="G8" s="2"/>
    </row>
    <row r="9" spans="1:7" ht="42.75" hidden="1" x14ac:dyDescent="0.25">
      <c r="A9" s="2">
        <v>8</v>
      </c>
      <c r="B9" s="9" t="s">
        <v>23</v>
      </c>
      <c r="C9" s="4" t="s">
        <v>24</v>
      </c>
      <c r="D9" s="8" t="s">
        <v>20</v>
      </c>
      <c r="E9" s="2" t="s">
        <v>10</v>
      </c>
      <c r="F9" s="4" t="s">
        <v>25</v>
      </c>
      <c r="G9" s="2"/>
    </row>
    <row r="10" spans="1:7" ht="28.5" x14ac:dyDescent="0.25">
      <c r="A10" s="2">
        <v>9</v>
      </c>
      <c r="B10" s="9" t="s">
        <v>23</v>
      </c>
      <c r="C10" s="4" t="s">
        <v>26</v>
      </c>
      <c r="D10" s="5" t="s">
        <v>9</v>
      </c>
      <c r="E10" s="2" t="s">
        <v>10</v>
      </c>
      <c r="F10" s="4"/>
      <c r="G10" s="2"/>
    </row>
    <row r="11" spans="1:7" ht="28.5" x14ac:dyDescent="0.25">
      <c r="A11" s="2">
        <v>10</v>
      </c>
      <c r="B11" s="10" t="s">
        <v>27</v>
      </c>
      <c r="C11" s="4" t="s">
        <v>28</v>
      </c>
      <c r="D11" s="5" t="s">
        <v>9</v>
      </c>
      <c r="E11" s="2" t="s">
        <v>10</v>
      </c>
      <c r="F11" s="4" t="s">
        <v>29</v>
      </c>
      <c r="G11" s="2"/>
    </row>
    <row r="12" spans="1:7" ht="28.5" x14ac:dyDescent="0.25">
      <c r="A12" s="2">
        <v>11</v>
      </c>
      <c r="B12" s="10" t="s">
        <v>27</v>
      </c>
      <c r="C12" s="4" t="s">
        <v>30</v>
      </c>
      <c r="D12" s="5" t="s">
        <v>9</v>
      </c>
      <c r="E12" s="2" t="s">
        <v>10</v>
      </c>
      <c r="F12" s="4" t="s">
        <v>31</v>
      </c>
      <c r="G12" s="2"/>
    </row>
    <row r="13" spans="1:7" ht="28.5" hidden="1" x14ac:dyDescent="0.25">
      <c r="A13" s="2">
        <v>12</v>
      </c>
      <c r="B13" s="10" t="s">
        <v>27</v>
      </c>
      <c r="C13" s="4" t="s">
        <v>32</v>
      </c>
      <c r="D13" s="6" t="s">
        <v>13</v>
      </c>
      <c r="E13" s="2" t="s">
        <v>10</v>
      </c>
      <c r="F13" s="4"/>
      <c r="G13" s="2"/>
    </row>
    <row r="14" spans="1:7" ht="42.75" x14ac:dyDescent="0.25">
      <c r="A14" s="2">
        <v>13</v>
      </c>
      <c r="B14" s="11" t="s">
        <v>33</v>
      </c>
      <c r="C14" s="4" t="s">
        <v>34</v>
      </c>
      <c r="D14" s="5" t="s">
        <v>9</v>
      </c>
      <c r="E14" s="2" t="s">
        <v>10</v>
      </c>
      <c r="F14" s="4" t="s">
        <v>35</v>
      </c>
      <c r="G14" s="2"/>
    </row>
    <row r="15" spans="1:7" ht="28.5" hidden="1" x14ac:dyDescent="0.25">
      <c r="A15" s="2">
        <v>14</v>
      </c>
      <c r="B15" s="11" t="s">
        <v>33</v>
      </c>
      <c r="C15" s="4" t="s">
        <v>36</v>
      </c>
      <c r="D15" s="6" t="s">
        <v>13</v>
      </c>
      <c r="E15" s="2" t="s">
        <v>10</v>
      </c>
      <c r="F15" s="4"/>
      <c r="G15" s="2"/>
    </row>
    <row r="16" spans="1:7" ht="42.75" hidden="1" x14ac:dyDescent="0.25">
      <c r="A16" s="2">
        <v>15</v>
      </c>
      <c r="B16" s="12" t="s">
        <v>37</v>
      </c>
      <c r="C16" s="4" t="s">
        <v>38</v>
      </c>
      <c r="D16" s="6" t="s">
        <v>13</v>
      </c>
      <c r="E16" s="2" t="s">
        <v>10</v>
      </c>
      <c r="F16" s="4" t="s">
        <v>16</v>
      </c>
      <c r="G16" s="2"/>
    </row>
    <row r="17" spans="1:7" ht="42.75" hidden="1" x14ac:dyDescent="0.25">
      <c r="A17" s="2">
        <v>16</v>
      </c>
      <c r="B17" s="12" t="s">
        <v>37</v>
      </c>
      <c r="C17" s="4" t="s">
        <v>39</v>
      </c>
      <c r="D17" s="6" t="s">
        <v>13</v>
      </c>
      <c r="E17" s="2" t="s">
        <v>10</v>
      </c>
      <c r="F17" s="4" t="s">
        <v>16</v>
      </c>
      <c r="G17" s="2"/>
    </row>
    <row r="18" spans="1:7" ht="28.5" hidden="1" x14ac:dyDescent="0.25">
      <c r="A18" s="2">
        <v>17</v>
      </c>
      <c r="B18" s="12" t="s">
        <v>37</v>
      </c>
      <c r="C18" s="4" t="s">
        <v>40</v>
      </c>
      <c r="D18" s="13" t="s">
        <v>41</v>
      </c>
      <c r="E18" s="2" t="s">
        <v>10</v>
      </c>
      <c r="F18" s="4"/>
      <c r="G18" s="2"/>
    </row>
    <row r="19" spans="1:7" hidden="1" x14ac:dyDescent="0.25">
      <c r="A19" s="2">
        <v>18</v>
      </c>
      <c r="B19" s="14" t="s">
        <v>42</v>
      </c>
      <c r="C19" s="4" t="s">
        <v>43</v>
      </c>
      <c r="D19" s="6" t="s">
        <v>13</v>
      </c>
      <c r="E19" s="2" t="s">
        <v>10</v>
      </c>
      <c r="F19" s="4"/>
      <c r="G19" s="2"/>
    </row>
    <row r="20" spans="1:7" hidden="1" x14ac:dyDescent="0.25">
      <c r="A20" s="2">
        <v>19</v>
      </c>
      <c r="B20" s="14" t="s">
        <v>42</v>
      </c>
      <c r="C20" s="4" t="s">
        <v>44</v>
      </c>
      <c r="D20" s="6" t="s">
        <v>13</v>
      </c>
      <c r="E20" s="2" t="s">
        <v>10</v>
      </c>
      <c r="F20" s="4"/>
      <c r="G20" s="2"/>
    </row>
    <row r="21" spans="1:7" ht="28.5" x14ac:dyDescent="0.25">
      <c r="A21" s="2">
        <v>20</v>
      </c>
      <c r="B21" s="14" t="s">
        <v>42</v>
      </c>
      <c r="C21" s="4" t="s">
        <v>45</v>
      </c>
      <c r="D21" s="5" t="s">
        <v>9</v>
      </c>
      <c r="E21" s="2" t="s">
        <v>10</v>
      </c>
      <c r="F21" s="4"/>
      <c r="G21" s="2"/>
    </row>
    <row r="22" spans="1:7" ht="28.5" hidden="1" x14ac:dyDescent="0.25">
      <c r="A22" s="2">
        <v>21</v>
      </c>
      <c r="B22" s="14" t="s">
        <v>42</v>
      </c>
      <c r="C22" s="4" t="s">
        <v>46</v>
      </c>
      <c r="D22" s="6" t="s">
        <v>13</v>
      </c>
      <c r="E22" s="2" t="s">
        <v>10</v>
      </c>
      <c r="F22" s="4"/>
      <c r="G22" s="2"/>
    </row>
    <row r="23" spans="1:7" ht="28.5" hidden="1" x14ac:dyDescent="0.25">
      <c r="A23" s="2">
        <v>22</v>
      </c>
      <c r="B23" s="14" t="s">
        <v>42</v>
      </c>
      <c r="C23" s="4" t="s">
        <v>47</v>
      </c>
      <c r="D23" s="6" t="s">
        <v>13</v>
      </c>
      <c r="E23" s="2" t="s">
        <v>10</v>
      </c>
      <c r="F23" s="4"/>
      <c r="G23" s="2"/>
    </row>
    <row r="24" spans="1:7" ht="28.5" hidden="1" x14ac:dyDescent="0.25">
      <c r="A24" s="2">
        <v>23</v>
      </c>
      <c r="B24" s="15" t="s">
        <v>48</v>
      </c>
      <c r="C24" s="4" t="s">
        <v>49</v>
      </c>
      <c r="D24" s="13" t="s">
        <v>41</v>
      </c>
      <c r="E24" s="2" t="s">
        <v>10</v>
      </c>
      <c r="F24" s="4"/>
      <c r="G24" s="2"/>
    </row>
  </sheetData>
  <autoFilter ref="A1:G24" xr:uid="{00000000-0001-0000-0000-000000000000}">
    <filterColumn colId="3">
      <filters>
        <filter val="Alta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/>
  </sheetViews>
  <sheetFormatPr baseColWidth="10" defaultColWidth="8.7109375" defaultRowHeight="15" x14ac:dyDescent="0.25"/>
  <cols>
    <col min="1" max="1" width="28" customWidth="1"/>
    <col min="2" max="2" width="14" customWidth="1"/>
  </cols>
  <sheetData>
    <row r="1" spans="1:2" ht="16.5" x14ac:dyDescent="0.25">
      <c r="A1" s="16" t="s">
        <v>50</v>
      </c>
    </row>
    <row r="3" spans="1:2" x14ac:dyDescent="0.25">
      <c r="A3" s="17" t="s">
        <v>4</v>
      </c>
      <c r="B3" s="17" t="s">
        <v>51</v>
      </c>
    </row>
    <row r="4" spans="1:2" x14ac:dyDescent="0.25">
      <c r="A4" s="18" t="s">
        <v>10</v>
      </c>
      <c r="B4" s="18">
        <f>COUNTIF('Plan de trabajo'!E2:E24,A4)</f>
        <v>23</v>
      </c>
    </row>
    <row r="5" spans="1:2" x14ac:dyDescent="0.25">
      <c r="A5" s="18" t="s">
        <v>52</v>
      </c>
      <c r="B5" s="18">
        <f>COUNTIF('Plan de trabajo'!E2:E24,A5)</f>
        <v>0</v>
      </c>
    </row>
    <row r="6" spans="1:2" x14ac:dyDescent="0.25">
      <c r="A6" s="18" t="s">
        <v>53</v>
      </c>
      <c r="B6" s="18">
        <f>COUNTIF('Plan de trabajo'!E2:E24,A6)</f>
        <v>0</v>
      </c>
    </row>
    <row r="7" spans="1:2" x14ac:dyDescent="0.25">
      <c r="A7" s="18" t="s">
        <v>54</v>
      </c>
      <c r="B7" s="18">
        <f>COUNTIF('Plan de trabajo'!E2:E24,A7)</f>
        <v>0</v>
      </c>
    </row>
    <row r="9" spans="1:2" x14ac:dyDescent="0.25">
      <c r="A9" s="17" t="s">
        <v>55</v>
      </c>
      <c r="B9" s="17">
        <f>COUNTA('Plan de trabajo'!C2:C24)</f>
        <v>23</v>
      </c>
    </row>
    <row r="11" spans="1:2" x14ac:dyDescent="0.25">
      <c r="A11" s="17" t="s">
        <v>56</v>
      </c>
      <c r="B11" s="19">
        <f>B6/B9</f>
        <v>0</v>
      </c>
    </row>
    <row r="13" spans="1:2" x14ac:dyDescent="0.25">
      <c r="A13" s="17" t="s">
        <v>57</v>
      </c>
      <c r="B13" s="17">
        <f>COUNTIFS('Plan de trabajo'!D2:D24,"Crítica",'Plan de trabajo'!E2:E24,"Pendiente")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trabajo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PlastInnova PI</cp:lastModifiedBy>
  <cp:revision>0</cp:revision>
  <dcterms:created xsi:type="dcterms:W3CDTF">2026-08-24T17:01:22Z</dcterms:created>
  <dcterms:modified xsi:type="dcterms:W3CDTF">2026-08-24T17:16:28Z</dcterms:modified>
  <dc:language>en-US</dc:language>
</cp:coreProperties>
</file>